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Black Swan Research\Dennis project\2024Swan11Rebalance\monthly update\"/>
    </mc:Choice>
  </mc:AlternateContent>
  <xr:revisionPtr revIDLastSave="0" documentId="13_ncr:1_{727A0218-D3B9-4993-86C7-30FF12A09423}" xr6:coauthVersionLast="47" xr6:coauthVersionMax="47" xr10:uidLastSave="{00000000-0000-0000-0000-000000000000}"/>
  <bookViews>
    <workbookView xWindow="-110" yWindow="-110" windowWidth="25820" windowHeight="13900" tabRatio="639" xr2:uid="{00000000-000D-0000-FFFF-FFFF00000000}"/>
  </bookViews>
  <sheets>
    <sheet name="Injected portfolio" sheetId="27" r:id="rId1"/>
  </sheets>
  <externalReferences>
    <externalReference r:id="rId2"/>
  </externalReferences>
  <definedNames>
    <definedName name="_xlnm._FilterDatabase" localSheetId="0" hidden="1">'Injected portfolio'!$K$1:$O$277</definedName>
    <definedName name="TotalHoldings">'[1]New Stocks-fwd'!$H$42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3" i="27" l="1"/>
  <c r="E163" i="27"/>
  <c r="F160" i="27"/>
  <c r="G160" i="27" s="1"/>
  <c r="F159" i="27"/>
  <c r="G159" i="27" s="1"/>
  <c r="F158" i="27"/>
  <c r="G158" i="27" s="1"/>
  <c r="G157" i="27"/>
  <c r="F157" i="27"/>
  <c r="F156" i="27"/>
  <c r="G156" i="27" s="1"/>
  <c r="F155" i="27"/>
  <c r="G155" i="27" s="1"/>
  <c r="F154" i="27"/>
  <c r="G154" i="27" s="1"/>
  <c r="F150" i="27"/>
  <c r="F145" i="27" s="1"/>
  <c r="G145" i="27" s="1"/>
  <c r="E150" i="27"/>
  <c r="F141" i="27"/>
  <c r="G141" i="27" s="1"/>
  <c r="G133" i="27"/>
  <c r="G134" i="27"/>
  <c r="F134" i="27"/>
  <c r="F133" i="27"/>
  <c r="F132" i="27"/>
  <c r="E137" i="27"/>
  <c r="F137" i="27"/>
  <c r="E123" i="27"/>
  <c r="F111" i="27"/>
  <c r="F123" i="27"/>
  <c r="F120" i="27" s="1"/>
  <c r="G120" i="27" s="1"/>
  <c r="F143" i="27" l="1"/>
  <c r="G143" i="27" s="1"/>
  <c r="F146" i="27"/>
  <c r="G146" i="27" s="1"/>
  <c r="F147" i="27"/>
  <c r="G147" i="27" s="1"/>
  <c r="F142" i="27"/>
  <c r="G142" i="27" s="1"/>
  <c r="F144" i="27"/>
  <c r="G144" i="27" s="1"/>
  <c r="G132" i="27"/>
  <c r="F127" i="27"/>
  <c r="G127" i="27" s="1"/>
  <c r="F128" i="27"/>
  <c r="G128" i="27" s="1"/>
  <c r="F129" i="27"/>
  <c r="G129" i="27" s="1"/>
  <c r="F130" i="27"/>
  <c r="G130" i="27" s="1"/>
  <c r="F131" i="27"/>
  <c r="G131" i="27" s="1"/>
  <c r="F115" i="27"/>
  <c r="G115" i="27" s="1"/>
  <c r="F116" i="27"/>
  <c r="G116" i="27" s="1"/>
  <c r="F117" i="27"/>
  <c r="G117" i="27" s="1"/>
  <c r="F118" i="27"/>
  <c r="G118" i="27" s="1"/>
  <c r="F119" i="27"/>
  <c r="G119" i="27" s="1"/>
  <c r="F108" i="27"/>
  <c r="G108" i="27" s="1"/>
  <c r="E111" i="27"/>
  <c r="F105" i="27"/>
  <c r="G105" i="27" s="1"/>
  <c r="F104" i="27"/>
  <c r="G104" i="27" s="1"/>
  <c r="F103" i="27"/>
  <c r="G103" i="27" s="1"/>
  <c r="F102" i="27"/>
  <c r="G102" i="27" s="1"/>
  <c r="F101" i="27"/>
  <c r="G101" i="27" s="1"/>
  <c r="E97" i="27"/>
  <c r="F97" i="27"/>
  <c r="F87" i="27" s="1"/>
  <c r="G87" i="27" s="1"/>
  <c r="F83" i="27"/>
  <c r="F73" i="27" s="1"/>
  <c r="G73" i="27" s="1"/>
  <c r="E83" i="27"/>
  <c r="F79" i="27"/>
  <c r="G79" i="27" s="1"/>
  <c r="F78" i="27"/>
  <c r="G78" i="27" s="1"/>
  <c r="F76" i="27"/>
  <c r="G76" i="27" s="1"/>
  <c r="AW73" i="27"/>
  <c r="AW74" i="27"/>
  <c r="AW75" i="27"/>
  <c r="AW76" i="27"/>
  <c r="AW77" i="27"/>
  <c r="AW78" i="27"/>
  <c r="AW79" i="27"/>
  <c r="AW80" i="27"/>
  <c r="AW81" i="27"/>
  <c r="AW82" i="27"/>
  <c r="AW83" i="27"/>
  <c r="AW84" i="27"/>
  <c r="AW85" i="27"/>
  <c r="AW86" i="27"/>
  <c r="AW87" i="27"/>
  <c r="AW3" i="27"/>
  <c r="AW4" i="27"/>
  <c r="AW5" i="27"/>
  <c r="AW6" i="27"/>
  <c r="AW7" i="27"/>
  <c r="AW8" i="27"/>
  <c r="AW9" i="27"/>
  <c r="AW10" i="27"/>
  <c r="AW11" i="27"/>
  <c r="AW12" i="27"/>
  <c r="AW13" i="27"/>
  <c r="AW14" i="27"/>
  <c r="AW15" i="27"/>
  <c r="AW16" i="27"/>
  <c r="AW17" i="27"/>
  <c r="AW18" i="27"/>
  <c r="AW19" i="27"/>
  <c r="AW20" i="27"/>
  <c r="AW21" i="27"/>
  <c r="AW22" i="27"/>
  <c r="AW23" i="27"/>
  <c r="AW24" i="27"/>
  <c r="AW25" i="27"/>
  <c r="AW26" i="27"/>
  <c r="AW27" i="27"/>
  <c r="AW28" i="27"/>
  <c r="AW29" i="27"/>
  <c r="AW30" i="27"/>
  <c r="AW31" i="27"/>
  <c r="AW32" i="27"/>
  <c r="AW33" i="27"/>
  <c r="AW34" i="27"/>
  <c r="AW35" i="27"/>
  <c r="AW36" i="27"/>
  <c r="AW37" i="27"/>
  <c r="AW38" i="27"/>
  <c r="AW39" i="27"/>
  <c r="AW40" i="27"/>
  <c r="AW41" i="27"/>
  <c r="AW42" i="27"/>
  <c r="AW43" i="27"/>
  <c r="AW44" i="27"/>
  <c r="AW45" i="27"/>
  <c r="AW46" i="27"/>
  <c r="AW47" i="27"/>
  <c r="AW48" i="27"/>
  <c r="AW49" i="27"/>
  <c r="AW50" i="27"/>
  <c r="AW51" i="27"/>
  <c r="AW52" i="27"/>
  <c r="AW53" i="27"/>
  <c r="AW54" i="27"/>
  <c r="AW55" i="27"/>
  <c r="AW56" i="27"/>
  <c r="AW57" i="27"/>
  <c r="AW58" i="27"/>
  <c r="AW59" i="27"/>
  <c r="AW60" i="27"/>
  <c r="AW61" i="27"/>
  <c r="AW62" i="27"/>
  <c r="AW63" i="27"/>
  <c r="AW64" i="27"/>
  <c r="AW65" i="27"/>
  <c r="AW66" i="27"/>
  <c r="AW67" i="27"/>
  <c r="AW68" i="27"/>
  <c r="AW69" i="27"/>
  <c r="AW70" i="27"/>
  <c r="AW71" i="27"/>
  <c r="AW72" i="27"/>
  <c r="AW2" i="27"/>
  <c r="G59" i="27"/>
  <c r="F65" i="27"/>
  <c r="G65" i="27" s="1"/>
  <c r="F64" i="27"/>
  <c r="G64" i="27" s="1"/>
  <c r="F63" i="27"/>
  <c r="G63" i="27" s="1"/>
  <c r="F59" i="27"/>
  <c r="F69" i="27"/>
  <c r="F62" i="27" s="1"/>
  <c r="G62" i="27" s="1"/>
  <c r="E69" i="27"/>
  <c r="F55" i="27"/>
  <c r="E55" i="27"/>
  <c r="AE277" i="27"/>
  <c r="AE276" i="27"/>
  <c r="AE275" i="27"/>
  <c r="AE274" i="27"/>
  <c r="AE273" i="27"/>
  <c r="AE272" i="27"/>
  <c r="AE271" i="27"/>
  <c r="AE270" i="27"/>
  <c r="AE269" i="27"/>
  <c r="AE268" i="27"/>
  <c r="AE267" i="27"/>
  <c r="AE266" i="27"/>
  <c r="AE265" i="27"/>
  <c r="AE264" i="27"/>
  <c r="AE263" i="27"/>
  <c r="AE262" i="27"/>
  <c r="AE261" i="27"/>
  <c r="AE260" i="27"/>
  <c r="AE259" i="27"/>
  <c r="AE258" i="27"/>
  <c r="AE257" i="27"/>
  <c r="AE256" i="27"/>
  <c r="AE255" i="27"/>
  <c r="AE254" i="27"/>
  <c r="AE253" i="27"/>
  <c r="AE252" i="27"/>
  <c r="AE251" i="27"/>
  <c r="AE250" i="27"/>
  <c r="AE249" i="27"/>
  <c r="AE248" i="27"/>
  <c r="AE247" i="27"/>
  <c r="AE246" i="27"/>
  <c r="AE245" i="27"/>
  <c r="AE244" i="27"/>
  <c r="AE243" i="27"/>
  <c r="AE242" i="27"/>
  <c r="AE241" i="27"/>
  <c r="AE240" i="27"/>
  <c r="AE239" i="27"/>
  <c r="AE238" i="27"/>
  <c r="AE237" i="27"/>
  <c r="AE236" i="27"/>
  <c r="AE235" i="27"/>
  <c r="AE234" i="27"/>
  <c r="AE233" i="27"/>
  <c r="AE232" i="27"/>
  <c r="AE231" i="27"/>
  <c r="AE230" i="27"/>
  <c r="AE229" i="27"/>
  <c r="AE228" i="27"/>
  <c r="AE227" i="27"/>
  <c r="AE226" i="27"/>
  <c r="AE225" i="27"/>
  <c r="AE224" i="27"/>
  <c r="AE223" i="27"/>
  <c r="AE222" i="27"/>
  <c r="AE221" i="27"/>
  <c r="AE220" i="27"/>
  <c r="AE219" i="27"/>
  <c r="AE218" i="27"/>
  <c r="AE217" i="27"/>
  <c r="AE216" i="27"/>
  <c r="AE215" i="27"/>
  <c r="AE214" i="27"/>
  <c r="AE213" i="27"/>
  <c r="AE212" i="27"/>
  <c r="AE211" i="27"/>
  <c r="AE210" i="27"/>
  <c r="AE209" i="27"/>
  <c r="AE208" i="27"/>
  <c r="AE207" i="27"/>
  <c r="AE206" i="27"/>
  <c r="AE205" i="27"/>
  <c r="AE204" i="27"/>
  <c r="AE203" i="27"/>
  <c r="AE202" i="27"/>
  <c r="AE201" i="27"/>
  <c r="AE200" i="27"/>
  <c r="AE199" i="27"/>
  <c r="AE198" i="27"/>
  <c r="AE197" i="27"/>
  <c r="AE196" i="27"/>
  <c r="AE195" i="27"/>
  <c r="AE194" i="27"/>
  <c r="AE193" i="27"/>
  <c r="AE192" i="27"/>
  <c r="AE191" i="27"/>
  <c r="AE190" i="27"/>
  <c r="AE189" i="27"/>
  <c r="AE188" i="27"/>
  <c r="AE187" i="27"/>
  <c r="AE186" i="27"/>
  <c r="AE185" i="27"/>
  <c r="AE184" i="27"/>
  <c r="AE183" i="27"/>
  <c r="AE182" i="27"/>
  <c r="AE181" i="27"/>
  <c r="AE180" i="27"/>
  <c r="AE179" i="27"/>
  <c r="AE178" i="27"/>
  <c r="AE177" i="27"/>
  <c r="AE176" i="27"/>
  <c r="AE175" i="27"/>
  <c r="AE174" i="27"/>
  <c r="AE173" i="27"/>
  <c r="AE172" i="27"/>
  <c r="AE171" i="27"/>
  <c r="AE170" i="27"/>
  <c r="AE169" i="27"/>
  <c r="AE168" i="27"/>
  <c r="AE167" i="27"/>
  <c r="AE166" i="27"/>
  <c r="AE165" i="27"/>
  <c r="AE164" i="27"/>
  <c r="AE163" i="27"/>
  <c r="AE162" i="27"/>
  <c r="AE161" i="27"/>
  <c r="AE160" i="27"/>
  <c r="AE159" i="27"/>
  <c r="AE158" i="27"/>
  <c r="AE157" i="27"/>
  <c r="AE156" i="27"/>
  <c r="AE155" i="27"/>
  <c r="AE154" i="27"/>
  <c r="AE153" i="27"/>
  <c r="AE152" i="27"/>
  <c r="AE151" i="27"/>
  <c r="AE150" i="27"/>
  <c r="AE149" i="27"/>
  <c r="AE148" i="27"/>
  <c r="AE147" i="27"/>
  <c r="AE146" i="27"/>
  <c r="AE145" i="27"/>
  <c r="AE144" i="27"/>
  <c r="AE143" i="27"/>
  <c r="AE142" i="27"/>
  <c r="AE141" i="27"/>
  <c r="AE140" i="27"/>
  <c r="AE139" i="27"/>
  <c r="AE138" i="27"/>
  <c r="AE137" i="27"/>
  <c r="AE136" i="27"/>
  <c r="AE135" i="27"/>
  <c r="AE134" i="27"/>
  <c r="AE133" i="27"/>
  <c r="AE132" i="27"/>
  <c r="AE131" i="27"/>
  <c r="AE130" i="27"/>
  <c r="AE129" i="27"/>
  <c r="AE128" i="27"/>
  <c r="AE127" i="27"/>
  <c r="AE126" i="27"/>
  <c r="AE125" i="27"/>
  <c r="AE124" i="27"/>
  <c r="AE123" i="27"/>
  <c r="AE122" i="27"/>
  <c r="AE121" i="27"/>
  <c r="AE120" i="27"/>
  <c r="AE119" i="27"/>
  <c r="AE118" i="27"/>
  <c r="AE117" i="27"/>
  <c r="AE116" i="27"/>
  <c r="AE115" i="27"/>
  <c r="AE114" i="27"/>
  <c r="AE113" i="27"/>
  <c r="AE112" i="27"/>
  <c r="AE111" i="27"/>
  <c r="AE110" i="27"/>
  <c r="AE109" i="27"/>
  <c r="AE108" i="27"/>
  <c r="AE107" i="27"/>
  <c r="AE106" i="27"/>
  <c r="AE105" i="27"/>
  <c r="AE104" i="27"/>
  <c r="AE103" i="27"/>
  <c r="AE102" i="27"/>
  <c r="AE101" i="27"/>
  <c r="AE100" i="27"/>
  <c r="AE99" i="27"/>
  <c r="AE98" i="27"/>
  <c r="AE97" i="27"/>
  <c r="AE96" i="27"/>
  <c r="AE95" i="27"/>
  <c r="AE94" i="27"/>
  <c r="AE93" i="27"/>
  <c r="AE92" i="27"/>
  <c r="AE91" i="27"/>
  <c r="AE90" i="27"/>
  <c r="AE89" i="27"/>
  <c r="AE88" i="27"/>
  <c r="AE87" i="27"/>
  <c r="AE86" i="27"/>
  <c r="AE85" i="27"/>
  <c r="AE84" i="27"/>
  <c r="AE83" i="27"/>
  <c r="AE82" i="27"/>
  <c r="AE81" i="27"/>
  <c r="AE80" i="27"/>
  <c r="AE79" i="27"/>
  <c r="AE78" i="27"/>
  <c r="AE77" i="27"/>
  <c r="AE76" i="27"/>
  <c r="AE75" i="27"/>
  <c r="AE74" i="27"/>
  <c r="AE73" i="27"/>
  <c r="AE72" i="27"/>
  <c r="AE71" i="27"/>
  <c r="AE70" i="27"/>
  <c r="AE69" i="27"/>
  <c r="AE68" i="27"/>
  <c r="AE67" i="27"/>
  <c r="AE66" i="27"/>
  <c r="AE65" i="27"/>
  <c r="AE64" i="27"/>
  <c r="AE63" i="27"/>
  <c r="AE62" i="27"/>
  <c r="AE61" i="27"/>
  <c r="AE60" i="27"/>
  <c r="AE59" i="27"/>
  <c r="AE58" i="27"/>
  <c r="AE57" i="27"/>
  <c r="AE56" i="27"/>
  <c r="AE55" i="27"/>
  <c r="AE54" i="27"/>
  <c r="AE53" i="27"/>
  <c r="AE52" i="27"/>
  <c r="AE51" i="27"/>
  <c r="AE50" i="27"/>
  <c r="AE49" i="27"/>
  <c r="AE48" i="27"/>
  <c r="AE47" i="27"/>
  <c r="AE46" i="27"/>
  <c r="AE45" i="27"/>
  <c r="AE44" i="27"/>
  <c r="AE43" i="27"/>
  <c r="AE42" i="27"/>
  <c r="AE41" i="27"/>
  <c r="AE40" i="27"/>
  <c r="AE39" i="27"/>
  <c r="AE38" i="27"/>
  <c r="AE37" i="27"/>
  <c r="AE36" i="27"/>
  <c r="AE35" i="27"/>
  <c r="AE34" i="27"/>
  <c r="AE33" i="27"/>
  <c r="AE32" i="27"/>
  <c r="AE31" i="27"/>
  <c r="AE30" i="27"/>
  <c r="AE29" i="27"/>
  <c r="AE28" i="27"/>
  <c r="AE27" i="27"/>
  <c r="AE26" i="27"/>
  <c r="AE25" i="27"/>
  <c r="AE24" i="27"/>
  <c r="AE23" i="27"/>
  <c r="AE22" i="27"/>
  <c r="AE21" i="27"/>
  <c r="AE20" i="27"/>
  <c r="AE19" i="27"/>
  <c r="AE18" i="27"/>
  <c r="AE17" i="27"/>
  <c r="AE16" i="27"/>
  <c r="AE15" i="27"/>
  <c r="AE14" i="27"/>
  <c r="AE13" i="27"/>
  <c r="AE12" i="27"/>
  <c r="AE11" i="27"/>
  <c r="AE10" i="27"/>
  <c r="AE9" i="27"/>
  <c r="AE8" i="27"/>
  <c r="AE7" i="27"/>
  <c r="AE6" i="27"/>
  <c r="AE5" i="27"/>
  <c r="AE4" i="27"/>
  <c r="AE3" i="27"/>
  <c r="AE2" i="27"/>
  <c r="H2" i="27"/>
  <c r="F91" i="27" l="1"/>
  <c r="G91" i="27" s="1"/>
  <c r="F93" i="27"/>
  <c r="G93" i="27" s="1"/>
  <c r="F77" i="27"/>
  <c r="G77" i="27" s="1"/>
  <c r="F75" i="27"/>
  <c r="G75" i="27" s="1"/>
  <c r="F74" i="27"/>
  <c r="G74" i="27" s="1"/>
  <c r="F95" i="27"/>
  <c r="G95" i="27" s="1"/>
  <c r="F94" i="27"/>
  <c r="G94" i="27" s="1"/>
  <c r="F60" i="27"/>
  <c r="G60" i="27" s="1"/>
  <c r="F88" i="27"/>
  <c r="G88" i="27" s="1"/>
  <c r="F61" i="27"/>
  <c r="G61" i="27" s="1"/>
  <c r="F89" i="27"/>
  <c r="G89" i="27" s="1"/>
  <c r="F90" i="27"/>
  <c r="G90" i="27" s="1"/>
  <c r="F106" i="27"/>
  <c r="G106" i="27" s="1"/>
  <c r="F107" i="27"/>
  <c r="G107" i="27" s="1"/>
  <c r="F92" i="27"/>
  <c r="G92" i="27" s="1"/>
  <c r="F8" i="27"/>
  <c r="G8" i="27" s="1"/>
  <c r="F7" i="27"/>
  <c r="G7" i="27" s="1"/>
  <c r="F6" i="27"/>
  <c r="G6" i="27" s="1"/>
  <c r="F5" i="27"/>
  <c r="G5" i="27" s="1"/>
  <c r="F4" i="27"/>
  <c r="G4" i="27" s="1"/>
  <c r="F3" i="27"/>
  <c r="G3" i="27" s="1"/>
  <c r="F2" i="27"/>
  <c r="G2" i="27" s="1"/>
  <c r="E41" i="27"/>
  <c r="E27" i="27"/>
  <c r="E12" i="27"/>
  <c r="F17" i="27" l="1"/>
  <c r="G17" i="27" s="1"/>
  <c r="N2" i="27"/>
  <c r="O2" i="27" s="1"/>
  <c r="N3" i="27"/>
  <c r="O3" i="27" s="1"/>
  <c r="N4" i="27"/>
  <c r="O4" i="27" s="1"/>
  <c r="N5" i="27"/>
  <c r="O5" i="27" s="1"/>
  <c r="N6" i="27"/>
  <c r="O6" i="27" s="1"/>
  <c r="N7" i="27"/>
  <c r="O7" i="27" s="1"/>
  <c r="N8" i="27"/>
  <c r="O8" i="27" s="1"/>
  <c r="N9" i="27"/>
  <c r="O9" i="27" s="1"/>
  <c r="N10" i="27"/>
  <c r="O10" i="27" s="1"/>
  <c r="N11" i="27"/>
  <c r="O11" i="27" s="1"/>
  <c r="N12" i="27"/>
  <c r="O12" i="27" s="1"/>
  <c r="N13" i="27"/>
  <c r="O13" i="27" s="1"/>
  <c r="N14" i="27"/>
  <c r="O14" i="27" s="1"/>
  <c r="N15" i="27"/>
  <c r="O15" i="27" s="1"/>
  <c r="N16" i="27"/>
  <c r="O16" i="27" s="1"/>
  <c r="N17" i="27"/>
  <c r="O17" i="27" s="1"/>
  <c r="N18" i="27"/>
  <c r="O18" i="27" s="1"/>
  <c r="N19" i="27"/>
  <c r="O19" i="27" s="1"/>
  <c r="N20" i="27"/>
  <c r="O20" i="27" s="1"/>
  <c r="N21" i="27"/>
  <c r="O21" i="27" s="1"/>
  <c r="N22" i="27"/>
  <c r="O22" i="27" s="1"/>
  <c r="N23" i="27"/>
  <c r="O23" i="27" s="1"/>
  <c r="N24" i="27"/>
  <c r="O24" i="27" s="1"/>
  <c r="N25" i="27"/>
  <c r="O25" i="27" s="1"/>
  <c r="N26" i="27"/>
  <c r="O26" i="27" s="1"/>
  <c r="N27" i="27"/>
  <c r="O27" i="27" s="1"/>
  <c r="N28" i="27"/>
  <c r="O28" i="27" s="1"/>
  <c r="N29" i="27"/>
  <c r="O29" i="27" s="1"/>
  <c r="N30" i="27"/>
  <c r="O30" i="27" s="1"/>
  <c r="N31" i="27"/>
  <c r="O31" i="27" s="1"/>
  <c r="N32" i="27"/>
  <c r="O32" i="27" s="1"/>
  <c r="N33" i="27"/>
  <c r="O33" i="27" s="1"/>
  <c r="N34" i="27"/>
  <c r="O34" i="27" s="1"/>
  <c r="N35" i="27"/>
  <c r="O35" i="27" s="1"/>
  <c r="N36" i="27"/>
  <c r="O36" i="27" s="1"/>
  <c r="N37" i="27"/>
  <c r="O37" i="27" s="1"/>
  <c r="N38" i="27"/>
  <c r="O38" i="27" s="1"/>
  <c r="N39" i="27"/>
  <c r="O39" i="27" s="1"/>
  <c r="N40" i="27"/>
  <c r="O40" i="27" s="1"/>
  <c r="N41" i="27"/>
  <c r="O41" i="27" s="1"/>
  <c r="N42" i="27"/>
  <c r="O42" i="27" s="1"/>
  <c r="N43" i="27"/>
  <c r="O43" i="27" s="1"/>
  <c r="N44" i="27"/>
  <c r="O44" i="27" s="1"/>
  <c r="N45" i="27"/>
  <c r="O45" i="27" s="1"/>
  <c r="N46" i="27"/>
  <c r="O46" i="27" s="1"/>
  <c r="N47" i="27"/>
  <c r="O47" i="27" s="1"/>
  <c r="N48" i="27"/>
  <c r="O48" i="27" s="1"/>
  <c r="N49" i="27"/>
  <c r="O49" i="27" s="1"/>
  <c r="N50" i="27"/>
  <c r="O50" i="27" s="1"/>
  <c r="N51" i="27"/>
  <c r="O51" i="27" s="1"/>
  <c r="N52" i="27"/>
  <c r="O52" i="27" s="1"/>
  <c r="N53" i="27"/>
  <c r="O53" i="27" s="1"/>
  <c r="N54" i="27"/>
  <c r="O54" i="27" s="1"/>
  <c r="N55" i="27"/>
  <c r="O55" i="27" s="1"/>
  <c r="N56" i="27"/>
  <c r="O56" i="27" s="1"/>
  <c r="N57" i="27"/>
  <c r="O57" i="27" s="1"/>
  <c r="N58" i="27"/>
  <c r="O58" i="27" s="1"/>
  <c r="N59" i="27"/>
  <c r="O59" i="27" s="1"/>
  <c r="N60" i="27"/>
  <c r="O60" i="27" s="1"/>
  <c r="N61" i="27"/>
  <c r="O61" i="27" s="1"/>
  <c r="N62" i="27"/>
  <c r="O62" i="27" s="1"/>
  <c r="N63" i="27"/>
  <c r="O63" i="27" s="1"/>
  <c r="N64" i="27"/>
  <c r="O64" i="27" s="1"/>
  <c r="N65" i="27"/>
  <c r="O65" i="27" s="1"/>
  <c r="N66" i="27"/>
  <c r="O66" i="27" s="1"/>
  <c r="N67" i="27"/>
  <c r="O67" i="27" s="1"/>
  <c r="N68" i="27"/>
  <c r="O68" i="27" s="1"/>
  <c r="N69" i="27"/>
  <c r="O69" i="27" s="1"/>
  <c r="N70" i="27"/>
  <c r="O70" i="27" s="1"/>
  <c r="N71" i="27"/>
  <c r="O71" i="27" s="1"/>
  <c r="N72" i="27"/>
  <c r="O72" i="27" s="1"/>
  <c r="N73" i="27"/>
  <c r="O73" i="27" s="1"/>
  <c r="N74" i="27"/>
  <c r="O74" i="27" s="1"/>
  <c r="N75" i="27"/>
  <c r="O75" i="27" s="1"/>
  <c r="N76" i="27"/>
  <c r="O76" i="27" s="1"/>
  <c r="N77" i="27"/>
  <c r="O77" i="27" s="1"/>
  <c r="N78" i="27"/>
  <c r="O78" i="27" s="1"/>
  <c r="N79" i="27"/>
  <c r="O79" i="27" s="1"/>
  <c r="N80" i="27"/>
  <c r="O80" i="27" s="1"/>
  <c r="N81" i="27"/>
  <c r="O81" i="27" s="1"/>
  <c r="N82" i="27"/>
  <c r="O82" i="27" s="1"/>
  <c r="N83" i="27"/>
  <c r="O83" i="27" s="1"/>
  <c r="N84" i="27"/>
  <c r="O84" i="27" s="1"/>
  <c r="N85" i="27"/>
  <c r="O85" i="27" s="1"/>
  <c r="N86" i="27"/>
  <c r="O86" i="27" s="1"/>
  <c r="N87" i="27"/>
  <c r="O87" i="27" s="1"/>
  <c r="N88" i="27"/>
  <c r="O88" i="27" s="1"/>
  <c r="N89" i="27"/>
  <c r="O89" i="27" s="1"/>
  <c r="N90" i="27"/>
  <c r="O90" i="27" s="1"/>
  <c r="N91" i="27"/>
  <c r="O91" i="27" s="1"/>
  <c r="N92" i="27"/>
  <c r="O92" i="27" s="1"/>
  <c r="N93" i="27"/>
  <c r="O93" i="27" s="1"/>
  <c r="N94" i="27"/>
  <c r="O94" i="27" s="1"/>
  <c r="N95" i="27"/>
  <c r="O95" i="27" s="1"/>
  <c r="N96" i="27"/>
  <c r="O96" i="27" s="1"/>
  <c r="N97" i="27"/>
  <c r="O97" i="27" s="1"/>
  <c r="N98" i="27"/>
  <c r="O98" i="27" s="1"/>
  <c r="N99" i="27"/>
  <c r="O99" i="27" s="1"/>
  <c r="N100" i="27"/>
  <c r="O100" i="27" s="1"/>
  <c r="N101" i="27"/>
  <c r="O101" i="27" s="1"/>
  <c r="N102" i="27"/>
  <c r="O102" i="27" s="1"/>
  <c r="N103" i="27"/>
  <c r="O103" i="27" s="1"/>
  <c r="N104" i="27"/>
  <c r="O104" i="27" s="1"/>
  <c r="N105" i="27"/>
  <c r="O105" i="27" s="1"/>
  <c r="N106" i="27"/>
  <c r="O106" i="27" s="1"/>
  <c r="N107" i="27"/>
  <c r="O107" i="27" s="1"/>
  <c r="N108" i="27"/>
  <c r="O108" i="27" s="1"/>
  <c r="N109" i="27"/>
  <c r="O109" i="27" s="1"/>
  <c r="N110" i="27"/>
  <c r="O110" i="27" s="1"/>
  <c r="N111" i="27"/>
  <c r="O111" i="27" s="1"/>
  <c r="N112" i="27"/>
  <c r="O112" i="27" s="1"/>
  <c r="N113" i="27"/>
  <c r="O113" i="27" s="1"/>
  <c r="N114" i="27"/>
  <c r="O114" i="27" s="1"/>
  <c r="N115" i="27"/>
  <c r="O115" i="27" s="1"/>
  <c r="N116" i="27"/>
  <c r="O116" i="27" s="1"/>
  <c r="N117" i="27"/>
  <c r="O117" i="27" s="1"/>
  <c r="N118" i="27"/>
  <c r="O118" i="27" s="1"/>
  <c r="N119" i="27"/>
  <c r="O119" i="27" s="1"/>
  <c r="N120" i="27"/>
  <c r="O120" i="27" s="1"/>
  <c r="N121" i="27"/>
  <c r="O121" i="27" s="1"/>
  <c r="N122" i="27"/>
  <c r="O122" i="27" s="1"/>
  <c r="N123" i="27"/>
  <c r="O123" i="27" s="1"/>
  <c r="N124" i="27"/>
  <c r="O124" i="27" s="1"/>
  <c r="N125" i="27"/>
  <c r="O125" i="27" s="1"/>
  <c r="N126" i="27"/>
  <c r="O126" i="27" s="1"/>
  <c r="N127" i="27"/>
  <c r="O127" i="27" s="1"/>
  <c r="N128" i="27"/>
  <c r="O128" i="27" s="1"/>
  <c r="N129" i="27"/>
  <c r="O129" i="27" s="1"/>
  <c r="N130" i="27"/>
  <c r="O130" i="27" s="1"/>
  <c r="N131" i="27"/>
  <c r="O131" i="27" s="1"/>
  <c r="N132" i="27"/>
  <c r="O132" i="27" s="1"/>
  <c r="N133" i="27"/>
  <c r="O133" i="27" s="1"/>
  <c r="N134" i="27"/>
  <c r="O134" i="27" s="1"/>
  <c r="N135" i="27"/>
  <c r="O135" i="27" s="1"/>
  <c r="N136" i="27"/>
  <c r="O136" i="27" s="1"/>
  <c r="N137" i="27"/>
  <c r="O137" i="27" s="1"/>
  <c r="N138" i="27"/>
  <c r="O138" i="27" s="1"/>
  <c r="N139" i="27"/>
  <c r="O139" i="27" s="1"/>
  <c r="N140" i="27"/>
  <c r="O140" i="27" s="1"/>
  <c r="N141" i="27"/>
  <c r="O141" i="27" s="1"/>
  <c r="N142" i="27"/>
  <c r="O142" i="27" s="1"/>
  <c r="N143" i="27"/>
  <c r="O143" i="27" s="1"/>
  <c r="N144" i="27"/>
  <c r="O144" i="27" s="1"/>
  <c r="N145" i="27"/>
  <c r="O145" i="27" s="1"/>
  <c r="N146" i="27"/>
  <c r="O146" i="27" s="1"/>
  <c r="N147" i="27"/>
  <c r="O147" i="27" s="1"/>
  <c r="N148" i="27"/>
  <c r="O148" i="27" s="1"/>
  <c r="N149" i="27"/>
  <c r="O149" i="27" s="1"/>
  <c r="N150" i="27"/>
  <c r="O150" i="27" s="1"/>
  <c r="N151" i="27"/>
  <c r="O151" i="27" s="1"/>
  <c r="N152" i="27"/>
  <c r="O152" i="27" s="1"/>
  <c r="N153" i="27"/>
  <c r="O153" i="27" s="1"/>
  <c r="N154" i="27"/>
  <c r="O154" i="27" s="1"/>
  <c r="N155" i="27"/>
  <c r="O155" i="27" s="1"/>
  <c r="N156" i="27"/>
  <c r="O156" i="27" s="1"/>
  <c r="N157" i="27"/>
  <c r="O157" i="27" s="1"/>
  <c r="N158" i="27"/>
  <c r="O158" i="27" s="1"/>
  <c r="N159" i="27"/>
  <c r="O159" i="27" s="1"/>
  <c r="N160" i="27"/>
  <c r="O160" i="27" s="1"/>
  <c r="N161" i="27"/>
  <c r="O161" i="27" s="1"/>
  <c r="N162" i="27"/>
  <c r="O162" i="27" s="1"/>
  <c r="N163" i="27"/>
  <c r="O163" i="27" s="1"/>
  <c r="N164" i="27"/>
  <c r="O164" i="27" s="1"/>
  <c r="N165" i="27"/>
  <c r="O165" i="27" s="1"/>
  <c r="N166" i="27"/>
  <c r="O166" i="27" s="1"/>
  <c r="N167" i="27"/>
  <c r="O167" i="27" s="1"/>
  <c r="N168" i="27"/>
  <c r="O168" i="27" s="1"/>
  <c r="N169" i="27"/>
  <c r="O169" i="27" s="1"/>
  <c r="N170" i="27"/>
  <c r="O170" i="27" s="1"/>
  <c r="N171" i="27"/>
  <c r="O171" i="27" s="1"/>
  <c r="N172" i="27"/>
  <c r="O172" i="27" s="1"/>
  <c r="N173" i="27"/>
  <c r="O173" i="27" s="1"/>
  <c r="N174" i="27"/>
  <c r="O174" i="27" s="1"/>
  <c r="N175" i="27"/>
  <c r="O175" i="27" s="1"/>
  <c r="N176" i="27"/>
  <c r="O176" i="27" s="1"/>
  <c r="N177" i="27"/>
  <c r="O177" i="27" s="1"/>
  <c r="N178" i="27"/>
  <c r="O178" i="27" s="1"/>
  <c r="N179" i="27"/>
  <c r="O179" i="27" s="1"/>
  <c r="N180" i="27"/>
  <c r="O180" i="27" s="1"/>
  <c r="N181" i="27"/>
  <c r="O181" i="27" s="1"/>
  <c r="N182" i="27"/>
  <c r="O182" i="27" s="1"/>
  <c r="N183" i="27"/>
  <c r="O183" i="27" s="1"/>
  <c r="N184" i="27"/>
  <c r="O184" i="27" s="1"/>
  <c r="N185" i="27"/>
  <c r="O185" i="27" s="1"/>
  <c r="N186" i="27"/>
  <c r="O186" i="27" s="1"/>
  <c r="N187" i="27"/>
  <c r="O187" i="27" s="1"/>
  <c r="N188" i="27"/>
  <c r="O188" i="27" s="1"/>
  <c r="N189" i="27"/>
  <c r="O189" i="27" s="1"/>
  <c r="N190" i="27"/>
  <c r="O190" i="27" s="1"/>
  <c r="N191" i="27"/>
  <c r="O191" i="27" s="1"/>
  <c r="N192" i="27"/>
  <c r="O192" i="27" s="1"/>
  <c r="N193" i="27"/>
  <c r="O193" i="27" s="1"/>
  <c r="N194" i="27"/>
  <c r="O194" i="27" s="1"/>
  <c r="N195" i="27"/>
  <c r="O195" i="27" s="1"/>
  <c r="N196" i="27"/>
  <c r="O196" i="27" s="1"/>
  <c r="N197" i="27"/>
  <c r="O197" i="27" s="1"/>
  <c r="N198" i="27"/>
  <c r="O198" i="27" s="1"/>
  <c r="N199" i="27"/>
  <c r="O199" i="27" s="1"/>
  <c r="N200" i="27"/>
  <c r="O200" i="27" s="1"/>
  <c r="N201" i="27"/>
  <c r="O201" i="27" s="1"/>
  <c r="N202" i="27"/>
  <c r="O202" i="27" s="1"/>
  <c r="N203" i="27"/>
  <c r="O203" i="27" s="1"/>
  <c r="N204" i="27"/>
  <c r="O204" i="27" s="1"/>
  <c r="N205" i="27"/>
  <c r="O205" i="27" s="1"/>
  <c r="N206" i="27"/>
  <c r="O206" i="27" s="1"/>
  <c r="N207" i="27"/>
  <c r="O207" i="27" s="1"/>
  <c r="N208" i="27"/>
  <c r="O208" i="27" s="1"/>
  <c r="N209" i="27"/>
  <c r="O209" i="27" s="1"/>
  <c r="N210" i="27"/>
  <c r="O210" i="27" s="1"/>
  <c r="N211" i="27"/>
  <c r="O211" i="27" s="1"/>
  <c r="N212" i="27"/>
  <c r="O212" i="27" s="1"/>
  <c r="N213" i="27"/>
  <c r="O213" i="27" s="1"/>
  <c r="N214" i="27"/>
  <c r="O214" i="27" s="1"/>
  <c r="N215" i="27"/>
  <c r="O215" i="27" s="1"/>
  <c r="N216" i="27"/>
  <c r="O216" i="27" s="1"/>
  <c r="N217" i="27"/>
  <c r="O217" i="27" s="1"/>
  <c r="N218" i="27"/>
  <c r="O218" i="27" s="1"/>
  <c r="N219" i="27"/>
  <c r="O219" i="27" s="1"/>
  <c r="N220" i="27"/>
  <c r="O220" i="27" s="1"/>
  <c r="N221" i="27"/>
  <c r="O221" i="27" s="1"/>
  <c r="N222" i="27"/>
  <c r="O222" i="27" s="1"/>
  <c r="N223" i="27"/>
  <c r="O223" i="27" s="1"/>
  <c r="N224" i="27"/>
  <c r="O224" i="27" s="1"/>
  <c r="N225" i="27"/>
  <c r="O225" i="27" s="1"/>
  <c r="N226" i="27"/>
  <c r="O226" i="27" s="1"/>
  <c r="N227" i="27"/>
  <c r="O227" i="27" s="1"/>
  <c r="N228" i="27"/>
  <c r="O228" i="27" s="1"/>
  <c r="N229" i="27"/>
  <c r="O229" i="27" s="1"/>
  <c r="N230" i="27"/>
  <c r="O230" i="27" s="1"/>
  <c r="N231" i="27"/>
  <c r="O231" i="27" s="1"/>
  <c r="N232" i="27"/>
  <c r="O232" i="27" s="1"/>
  <c r="N233" i="27"/>
  <c r="O233" i="27" s="1"/>
  <c r="N234" i="27"/>
  <c r="O234" i="27" s="1"/>
  <c r="N235" i="27"/>
  <c r="O235" i="27" s="1"/>
  <c r="N236" i="27"/>
  <c r="O236" i="27" s="1"/>
  <c r="N237" i="27"/>
  <c r="O237" i="27" s="1"/>
  <c r="N238" i="27"/>
  <c r="O238" i="27" s="1"/>
  <c r="N239" i="27"/>
  <c r="O239" i="27" s="1"/>
  <c r="N240" i="27"/>
  <c r="O240" i="27" s="1"/>
  <c r="N241" i="27"/>
  <c r="O241" i="27" s="1"/>
  <c r="N242" i="27"/>
  <c r="O242" i="27" s="1"/>
  <c r="N243" i="27"/>
  <c r="O243" i="27" s="1"/>
  <c r="N244" i="27"/>
  <c r="O244" i="27" s="1"/>
  <c r="N245" i="27"/>
  <c r="O245" i="27" s="1"/>
  <c r="N246" i="27"/>
  <c r="O246" i="27" s="1"/>
  <c r="N247" i="27"/>
  <c r="O247" i="27" s="1"/>
  <c r="N248" i="27"/>
  <c r="O248" i="27" s="1"/>
  <c r="N249" i="27"/>
  <c r="O249" i="27" s="1"/>
  <c r="N250" i="27"/>
  <c r="O250" i="27" s="1"/>
  <c r="N251" i="27"/>
  <c r="O251" i="27" s="1"/>
  <c r="N252" i="27"/>
  <c r="O252" i="27" s="1"/>
  <c r="N253" i="27"/>
  <c r="O253" i="27" s="1"/>
  <c r="N254" i="27"/>
  <c r="O254" i="27" s="1"/>
  <c r="N255" i="27"/>
  <c r="O255" i="27" s="1"/>
  <c r="N256" i="27"/>
  <c r="O256" i="27" s="1"/>
  <c r="N257" i="27"/>
  <c r="O257" i="27" s="1"/>
  <c r="N258" i="27"/>
  <c r="O258" i="27" s="1"/>
  <c r="N259" i="27"/>
  <c r="O259" i="27" s="1"/>
  <c r="N260" i="27"/>
  <c r="O260" i="27" s="1"/>
  <c r="N261" i="27"/>
  <c r="O261" i="27" s="1"/>
  <c r="N262" i="27"/>
  <c r="O262" i="27" s="1"/>
  <c r="N263" i="27"/>
  <c r="O263" i="27" s="1"/>
  <c r="N264" i="27"/>
  <c r="O264" i="27" s="1"/>
  <c r="N265" i="27"/>
  <c r="O265" i="27" s="1"/>
  <c r="N266" i="27"/>
  <c r="O266" i="27" s="1"/>
  <c r="N267" i="27"/>
  <c r="O267" i="27" s="1"/>
  <c r="N268" i="27"/>
  <c r="O268" i="27" s="1"/>
  <c r="N269" i="27"/>
  <c r="O269" i="27" s="1"/>
  <c r="N270" i="27"/>
  <c r="O270" i="27" s="1"/>
  <c r="N271" i="27"/>
  <c r="O271" i="27" s="1"/>
  <c r="N272" i="27"/>
  <c r="O272" i="27" s="1"/>
  <c r="N273" i="27"/>
  <c r="O273" i="27" s="1"/>
  <c r="N274" i="27"/>
  <c r="O274" i="27" s="1"/>
  <c r="N275" i="27"/>
  <c r="O275" i="27" s="1"/>
  <c r="N276" i="27"/>
  <c r="O276" i="27" s="1"/>
  <c r="N277" i="27"/>
  <c r="O277" i="27" s="1"/>
  <c r="F22" i="27" l="1"/>
  <c r="G22" i="27" s="1"/>
  <c r="F21" i="27"/>
  <c r="G21" i="27" s="1"/>
  <c r="F20" i="27"/>
  <c r="G20" i="27" s="1"/>
  <c r="F18" i="27"/>
  <c r="G18" i="27" s="1"/>
  <c r="F23" i="27"/>
  <c r="G23" i="27" s="1"/>
  <c r="F19" i="27"/>
  <c r="G19" i="27" s="1"/>
  <c r="F41" i="27" l="1"/>
  <c r="F31" i="27" l="1"/>
  <c r="G31" i="27" s="1"/>
  <c r="F36" i="27"/>
  <c r="G36" i="27" s="1"/>
  <c r="F32" i="27"/>
  <c r="G32" i="27" s="1"/>
  <c r="F35" i="27"/>
  <c r="G35" i="27" s="1"/>
  <c r="F34" i="27"/>
  <c r="G34" i="27" s="1"/>
  <c r="F33" i="27"/>
  <c r="G33" i="27" s="1"/>
  <c r="F51" i="27" l="1"/>
  <c r="G51" i="27" s="1"/>
  <c r="F50" i="27" l="1"/>
  <c r="G50" i="27" s="1"/>
  <c r="F45" i="27"/>
  <c r="G45" i="27" s="1"/>
  <c r="F46" i="27"/>
  <c r="G46" i="27" s="1"/>
  <c r="F49" i="27"/>
  <c r="G49" i="27" s="1"/>
  <c r="F47" i="27"/>
  <c r="G47" i="27" s="1"/>
  <c r="F48" i="27"/>
  <c r="G48" i="2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SP100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2" xr16:uid="{00000000-0015-0000-FFFF-FFFF02000000}" name="SP1001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3" xr16:uid="{00000000-0015-0000-FFFF-FFFF06000000}" name="SP1003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4" xr16:uid="{00000000-0015-0000-FFFF-FFFF07000000}" name="SP1004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5" xr16:uid="{00000000-0015-0000-FFFF-FFFF0A000000}" name="SP10051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  <connection id="6" xr16:uid="{00000000-0015-0000-FFFF-FFFF0D000000}" name="SP100611" type="6" refreshedVersion="6" background="1" saveData="1">
    <textPr codePage="936" sourceFile="C:\Users\zhang\Desktop\internship\get yahoodata\SP100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<sst xmlns="http://schemas.openxmlformats.org/spreadsheetml/2006/main" count="235" uniqueCount="71">
  <si>
    <t>LLY</t>
  </si>
  <si>
    <t>symbol</t>
  </si>
  <si>
    <t>Selected</t>
    <phoneticPr fontId="9" type="noConversion"/>
  </si>
  <si>
    <t>17_17 Type E</t>
    <phoneticPr fontId="9" type="noConversion"/>
  </si>
  <si>
    <t>weight1</t>
  </si>
  <si>
    <t>DD if no protection</t>
    <phoneticPr fontId="9" type="noConversion"/>
  </si>
  <si>
    <t>Portfolio DD</t>
    <phoneticPr fontId="9" type="noConversion"/>
  </si>
  <si>
    <t>protection</t>
    <phoneticPr fontId="9" type="noConversion"/>
  </si>
  <si>
    <t>difference</t>
    <phoneticPr fontId="9" type="noConversion"/>
  </si>
  <si>
    <t>percentage</t>
    <phoneticPr fontId="9" type="noConversion"/>
  </si>
  <si>
    <t>COST</t>
  </si>
  <si>
    <t>sum</t>
  </si>
  <si>
    <t>BRK-B</t>
  </si>
  <si>
    <t>Date</t>
  </si>
  <si>
    <t>portfolio_value</t>
  </si>
  <si>
    <t>oex</t>
  </si>
  <si>
    <t>MDLZ</t>
  </si>
  <si>
    <t>value($)</t>
  </si>
  <si>
    <t>shares(#)</t>
  </si>
  <si>
    <t>stock price($)</t>
  </si>
  <si>
    <t>11.28.2023</t>
  </si>
  <si>
    <t>GD</t>
  </si>
  <si>
    <t>GILD</t>
  </si>
  <si>
    <t>IBM</t>
  </si>
  <si>
    <t>MRK</t>
  </si>
  <si>
    <t>1.8.2024</t>
  </si>
  <si>
    <t>AMGN</t>
  </si>
  <si>
    <t>end price</t>
  </si>
  <si>
    <t>2.1.2024</t>
  </si>
  <si>
    <t>stock buy price($)</t>
  </si>
  <si>
    <t>stock sold price</t>
  </si>
  <si>
    <t>8.28.2022</t>
  </si>
  <si>
    <t>10.28.2022</t>
  </si>
  <si>
    <t>7.28.2022</t>
  </si>
  <si>
    <t>portfolio_value (without update)</t>
  </si>
  <si>
    <t>11.28.2022</t>
  </si>
  <si>
    <t>3.1.2024</t>
  </si>
  <si>
    <t>end price (3.1)</t>
  </si>
  <si>
    <t>portfolio_value (with monthly rebalance)</t>
  </si>
  <si>
    <t>portfolio_value (without monthly rebalance)</t>
  </si>
  <si>
    <t>end price (4.1)</t>
  </si>
  <si>
    <t>4.1.2024</t>
  </si>
  <si>
    <t>CL</t>
  </si>
  <si>
    <t>12.28.2022</t>
  </si>
  <si>
    <t>Blue-oex</t>
  </si>
  <si>
    <t>end price (5.8)</t>
  </si>
  <si>
    <t>5.8.2024</t>
  </si>
  <si>
    <t>1.28.2023</t>
  </si>
  <si>
    <t>2.28.2023</t>
  </si>
  <si>
    <t>6.3.2024</t>
  </si>
  <si>
    <t>end price (6.3)</t>
  </si>
  <si>
    <t>DUK</t>
  </si>
  <si>
    <t>MO</t>
  </si>
  <si>
    <t>PG</t>
  </si>
  <si>
    <t>7.1.2024</t>
  </si>
  <si>
    <t>3.28.2023</t>
  </si>
  <si>
    <t xml:space="preserve">end price </t>
  </si>
  <si>
    <t>end price(8.1)</t>
  </si>
  <si>
    <t>4.28.2023</t>
  </si>
  <si>
    <t>8.1.2024</t>
  </si>
  <si>
    <t>end price(8.30)</t>
  </si>
  <si>
    <t>8.30.2024</t>
  </si>
  <si>
    <t>5.28.2023</t>
  </si>
  <si>
    <t>LMT</t>
  </si>
  <si>
    <t>end price(10.1)</t>
  </si>
  <si>
    <t>6.28.2023</t>
  </si>
  <si>
    <t>10.1.2024</t>
  </si>
  <si>
    <t>KO</t>
  </si>
  <si>
    <t>SO</t>
  </si>
  <si>
    <t>11.1.2024</t>
  </si>
  <si>
    <t>7.28.2023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</si>
</sst>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0" fontId="10" fillId="3" borderId="1" applyNumberFormat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5" applyNumberFormat="0" applyAlignment="0" applyProtection="0"/>
    <xf numFmtId="0" fontId="19" fillId="3" borderId="1" applyNumberFormat="0" applyAlignment="0" applyProtection="0"/>
    <xf numFmtId="0" fontId="20" fillId="3" borderId="5" applyNumberFormat="0" applyAlignment="0" applyProtection="0"/>
    <xf numFmtId="0" fontId="21" fillId="0" borderId="6" applyNumberFormat="0" applyFill="0" applyAlignment="0" applyProtection="0"/>
    <xf numFmtId="0" fontId="22" fillId="8" borderId="7" applyNumberFormat="0" applyAlignment="0" applyProtection="0"/>
    <xf numFmtId="0" fontId="23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6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6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6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6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6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34" borderId="0" xfId="0" applyFill="1"/>
    <xf numFmtId="0" fontId="0" fillId="35" borderId="0" xfId="0" applyFill="1"/>
    <xf numFmtId="0" fontId="0" fillId="36" borderId="0" xfId="0" applyFill="1"/>
    <xf numFmtId="10" fontId="0" fillId="37" borderId="0" xfId="0" applyNumberFormat="1" applyFill="1"/>
    <xf numFmtId="0" fontId="27" fillId="0" borderId="0" xfId="0" applyFont="1"/>
    <xf numFmtId="10" fontId="27" fillId="0" borderId="0" xfId="0" applyNumberFormat="1" applyFont="1"/>
    <xf numFmtId="14" fontId="0" fillId="0" borderId="0" xfId="0" applyNumberFormat="1" applyAlignment="1">
      <alignment vertical="center"/>
    </xf>
    <xf numFmtId="0" fontId="0" fillId="38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3" fontId="0" fillId="0" borderId="0" xfId="0" applyNumberFormat="1"/>
    <xf numFmtId="0" fontId="0" fillId="37" borderId="0" xfId="0" applyFill="1"/>
    <xf numFmtId="14" fontId="0" fillId="0" borderId="0" xfId="0" applyNumberFormat="1"/>
    <xf numFmtId="14" fontId="0" fillId="37" borderId="0" xfId="0" applyNumberFormat="1" applyFill="1" applyAlignment="1">
      <alignment vertical="center"/>
    </xf>
  </cellXfs>
  <cellStyles count="54">
    <cellStyle name="20% - Accent1" xfId="31" builtinId="30" customBuiltin="1"/>
    <cellStyle name="20% - Accent2" xfId="35" builtinId="34" customBuiltin="1"/>
    <cellStyle name="20% - Accent3" xfId="39" builtinId="38" customBuiltin="1"/>
    <cellStyle name="20% - Accent4" xfId="43" builtinId="42" customBuiltin="1"/>
    <cellStyle name="20% - Accent5" xfId="47" builtinId="46" customBuiltin="1"/>
    <cellStyle name="20% - Accent6" xfId="51" builtinId="50" customBuiltin="1"/>
    <cellStyle name="40% - Accent1" xfId="32" builtinId="31" customBuiltin="1"/>
    <cellStyle name="40% - Accent2" xfId="36" builtinId="35" customBuiltin="1"/>
    <cellStyle name="40% - Accent3" xfId="40" builtinId="39" customBuiltin="1"/>
    <cellStyle name="40% - Accent4" xfId="44" builtinId="43" customBuiltin="1"/>
    <cellStyle name="40% - Accent5" xfId="48" builtinId="47" customBuiltin="1"/>
    <cellStyle name="40% - Accent6" xfId="52" builtinId="51" customBuiltin="1"/>
    <cellStyle name="60% - Accent1" xfId="33" builtinId="32" customBuiltin="1"/>
    <cellStyle name="60% - Accent2" xfId="37" builtinId="36" customBuiltin="1"/>
    <cellStyle name="60% - Accent3" xfId="41" builtinId="40" customBuiltin="1"/>
    <cellStyle name="60% - Accent4" xfId="45" builtinId="44" customBuiltin="1"/>
    <cellStyle name="60% - Accent5" xfId="49" builtinId="48" customBuiltin="1"/>
    <cellStyle name="60% - Accent6" xfId="53" builtinId="52" customBuiltin="1"/>
    <cellStyle name="Accent1" xfId="30" builtinId="29" customBuiltin="1"/>
    <cellStyle name="Accent2" xfId="34" builtinId="33" customBuiltin="1"/>
    <cellStyle name="Accent3" xfId="38" builtinId="37" customBuiltin="1"/>
    <cellStyle name="Accent4" xfId="42" builtinId="41" customBuiltin="1"/>
    <cellStyle name="Accent5" xfId="46" builtinId="45" customBuiltin="1"/>
    <cellStyle name="Accent6" xfId="50" builtinId="49" customBuiltin="1"/>
    <cellStyle name="Bad" xfId="19" builtinId="27" customBuiltin="1"/>
    <cellStyle name="Calculation" xfId="23" builtinId="22" customBuiltin="1"/>
    <cellStyle name="Check Cell" xfId="25" builtinId="23" customBuiltin="1"/>
    <cellStyle name="Comma 2" xfId="11" xr:uid="{D9B5A9E7-2D99-7842-9F1B-DB4CA0B46BF4}"/>
    <cellStyle name="Explanatory Text" xfId="28" builtinId="53" customBuiltin="1"/>
    <cellStyle name="Followed Hyperlink" xfId="2" builtinId="9" hidden="1"/>
    <cellStyle name="Followed Hyperlink" xfId="4" builtinId="9" hidden="1"/>
    <cellStyle name="Good" xfId="18" builtinId="26" customBuiltin="1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Hyperlink" xfId="1" builtinId="8" hidden="1"/>
    <cellStyle name="Hyperlink" xfId="3" builtinId="8" hidden="1"/>
    <cellStyle name="Input" xfId="21" builtinId="20" customBuiltin="1"/>
    <cellStyle name="Linked Cell" xfId="24" builtinId="24" customBuiltin="1"/>
    <cellStyle name="Neutral" xfId="20" builtinId="28" customBuiltin="1"/>
    <cellStyle name="Normal" xfId="0" builtinId="0"/>
    <cellStyle name="Normal 2" xfId="8" xr:uid="{E9774920-890C-534F-9798-D20B6C2A34D0}"/>
    <cellStyle name="Normal 3" xfId="9" xr:uid="{FE74EB62-0BFD-2A4C-8E66-E83E701485D5}"/>
    <cellStyle name="Note" xfId="27" builtinId="10" customBuiltin="1"/>
    <cellStyle name="Output" xfId="22" builtinId="21" customBuiltin="1"/>
    <cellStyle name="Output 2" xfId="12" xr:uid="{1890DA0C-A3CC-2842-A31C-49648A3E966B}"/>
    <cellStyle name="Title" xfId="13" builtinId="15" customBuiltin="1"/>
    <cellStyle name="Total" xfId="29" builtinId="25" customBuiltin="1"/>
    <cellStyle name="Warning Text" xfId="26" builtinId="11" customBuiltin="1"/>
    <cellStyle name="常规 2" xfId="5" xr:uid="{00000000-0005-0000-0000-000002000000}"/>
    <cellStyle name="常规 2 2" xfId="7" xr:uid="{00000000-0005-0000-0000-000003000000}"/>
    <cellStyle name="常规 2 3" xfId="6" xr:uid="{00000000-0005-0000-0000-000004000000}"/>
    <cellStyle name="常规 2 4" xfId="10" xr:uid="{02223095-6233-F548-9D58-1B27438EDCF4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8AD8"/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Type</a:t>
            </a:r>
            <a:r>
              <a:rPr lang="en-US" altLang="zh-CN" baseline="0"/>
              <a:t> E preselection with K-means=7 in S&amp;P100 from Swan 5-10D -&gt; Present with MVO2.0 With Estimated Swan beta using MA30 with monthly update</a:t>
            </a:r>
          </a:p>
          <a:p>
            <a:pPr>
              <a:defRPr/>
            </a:pPr>
            <a:r>
              <a:rPr lang="en-US" altLang="zh-CN" baseline="0"/>
              <a:t>(modified K-means with Davies-Bouldin index)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'Injected portfolio'!$L$1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0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0DB-4016-9E38-7DB99EEC299A}"/>
              </c:ext>
            </c:extLst>
          </c:dPt>
          <c:cat>
            <c:numRef>
              <c:f>'Injected portfolio'!$K$2:$K$1657</c:f>
              <c:numCache>
                <c:formatCode>m/d/yyyy</c:formatCode>
                <c:ptCount val="165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  <c:pt idx="86">
                  <c:v>45385</c:v>
                </c:pt>
                <c:pt idx="87">
                  <c:v>45386</c:v>
                </c:pt>
                <c:pt idx="88">
                  <c:v>45387</c:v>
                </c:pt>
                <c:pt idx="89">
                  <c:v>45390</c:v>
                </c:pt>
                <c:pt idx="90">
                  <c:v>45391</c:v>
                </c:pt>
                <c:pt idx="91">
                  <c:v>45392</c:v>
                </c:pt>
                <c:pt idx="92">
                  <c:v>45393</c:v>
                </c:pt>
                <c:pt idx="93">
                  <c:v>45394</c:v>
                </c:pt>
                <c:pt idx="94">
                  <c:v>45397</c:v>
                </c:pt>
                <c:pt idx="95">
                  <c:v>45398</c:v>
                </c:pt>
                <c:pt idx="96">
                  <c:v>45399</c:v>
                </c:pt>
                <c:pt idx="97">
                  <c:v>45400</c:v>
                </c:pt>
                <c:pt idx="98">
                  <c:v>45401</c:v>
                </c:pt>
                <c:pt idx="99">
                  <c:v>45404</c:v>
                </c:pt>
                <c:pt idx="100">
                  <c:v>45405</c:v>
                </c:pt>
                <c:pt idx="101">
                  <c:v>45406</c:v>
                </c:pt>
                <c:pt idx="102">
                  <c:v>45407</c:v>
                </c:pt>
                <c:pt idx="103">
                  <c:v>45408</c:v>
                </c:pt>
                <c:pt idx="104">
                  <c:v>45411</c:v>
                </c:pt>
                <c:pt idx="105">
                  <c:v>45412</c:v>
                </c:pt>
                <c:pt idx="106">
                  <c:v>45413</c:v>
                </c:pt>
                <c:pt idx="107">
                  <c:v>45414</c:v>
                </c:pt>
                <c:pt idx="108">
                  <c:v>45415</c:v>
                </c:pt>
                <c:pt idx="109">
                  <c:v>45418</c:v>
                </c:pt>
                <c:pt idx="110">
                  <c:v>45419</c:v>
                </c:pt>
                <c:pt idx="111">
                  <c:v>45420</c:v>
                </c:pt>
                <c:pt idx="112">
                  <c:v>45421</c:v>
                </c:pt>
                <c:pt idx="113">
                  <c:v>45422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45432</c:v>
                </c:pt>
                <c:pt idx="120">
                  <c:v>45433</c:v>
                </c:pt>
                <c:pt idx="121">
                  <c:v>45434</c:v>
                </c:pt>
                <c:pt idx="122">
                  <c:v>45435</c:v>
                </c:pt>
                <c:pt idx="123">
                  <c:v>45436</c:v>
                </c:pt>
                <c:pt idx="124">
                  <c:v>45440</c:v>
                </c:pt>
                <c:pt idx="125">
                  <c:v>45441</c:v>
                </c:pt>
                <c:pt idx="126">
                  <c:v>45442</c:v>
                </c:pt>
                <c:pt idx="127">
                  <c:v>45443</c:v>
                </c:pt>
                <c:pt idx="128">
                  <c:v>45446</c:v>
                </c:pt>
                <c:pt idx="129">
                  <c:v>45447</c:v>
                </c:pt>
                <c:pt idx="130">
                  <c:v>45448</c:v>
                </c:pt>
                <c:pt idx="131">
                  <c:v>45449</c:v>
                </c:pt>
                <c:pt idx="132">
                  <c:v>45450</c:v>
                </c:pt>
                <c:pt idx="133">
                  <c:v>45453</c:v>
                </c:pt>
                <c:pt idx="134">
                  <c:v>45454</c:v>
                </c:pt>
                <c:pt idx="135">
                  <c:v>45455</c:v>
                </c:pt>
                <c:pt idx="136">
                  <c:v>45456</c:v>
                </c:pt>
                <c:pt idx="137">
                  <c:v>45457</c:v>
                </c:pt>
                <c:pt idx="138">
                  <c:v>45460</c:v>
                </c:pt>
                <c:pt idx="139">
                  <c:v>45461</c:v>
                </c:pt>
                <c:pt idx="140">
                  <c:v>45463</c:v>
                </c:pt>
                <c:pt idx="141">
                  <c:v>45464</c:v>
                </c:pt>
                <c:pt idx="142">
                  <c:v>45467</c:v>
                </c:pt>
                <c:pt idx="143">
                  <c:v>45468</c:v>
                </c:pt>
                <c:pt idx="144">
                  <c:v>45469</c:v>
                </c:pt>
                <c:pt idx="145">
                  <c:v>45470</c:v>
                </c:pt>
                <c:pt idx="146">
                  <c:v>45471</c:v>
                </c:pt>
                <c:pt idx="147">
                  <c:v>45474</c:v>
                </c:pt>
                <c:pt idx="148">
                  <c:v>45475</c:v>
                </c:pt>
                <c:pt idx="149">
                  <c:v>45476</c:v>
                </c:pt>
                <c:pt idx="150">
                  <c:v>45478</c:v>
                </c:pt>
                <c:pt idx="151">
                  <c:v>45481</c:v>
                </c:pt>
                <c:pt idx="152">
                  <c:v>45482</c:v>
                </c:pt>
                <c:pt idx="153">
                  <c:v>45483</c:v>
                </c:pt>
                <c:pt idx="154">
                  <c:v>45484</c:v>
                </c:pt>
                <c:pt idx="155">
                  <c:v>45485</c:v>
                </c:pt>
                <c:pt idx="156">
                  <c:v>45488</c:v>
                </c:pt>
                <c:pt idx="157">
                  <c:v>45489</c:v>
                </c:pt>
                <c:pt idx="158">
                  <c:v>45490</c:v>
                </c:pt>
                <c:pt idx="159">
                  <c:v>45491</c:v>
                </c:pt>
                <c:pt idx="160">
                  <c:v>45492</c:v>
                </c:pt>
                <c:pt idx="161">
                  <c:v>45495</c:v>
                </c:pt>
                <c:pt idx="162">
                  <c:v>45496</c:v>
                </c:pt>
                <c:pt idx="163">
                  <c:v>45497</c:v>
                </c:pt>
                <c:pt idx="164">
                  <c:v>45498</c:v>
                </c:pt>
                <c:pt idx="165">
                  <c:v>45499</c:v>
                </c:pt>
                <c:pt idx="166">
                  <c:v>45502</c:v>
                </c:pt>
                <c:pt idx="167">
                  <c:v>45503</c:v>
                </c:pt>
                <c:pt idx="168">
                  <c:v>45504</c:v>
                </c:pt>
                <c:pt idx="169">
                  <c:v>45505</c:v>
                </c:pt>
                <c:pt idx="170">
                  <c:v>45506</c:v>
                </c:pt>
                <c:pt idx="171">
                  <c:v>45509</c:v>
                </c:pt>
                <c:pt idx="172">
                  <c:v>45510</c:v>
                </c:pt>
                <c:pt idx="173">
                  <c:v>45511</c:v>
                </c:pt>
                <c:pt idx="174">
                  <c:v>45512</c:v>
                </c:pt>
                <c:pt idx="175">
                  <c:v>45513</c:v>
                </c:pt>
                <c:pt idx="176">
                  <c:v>45516</c:v>
                </c:pt>
                <c:pt idx="177">
                  <c:v>45517</c:v>
                </c:pt>
                <c:pt idx="178">
                  <c:v>45518</c:v>
                </c:pt>
                <c:pt idx="179">
                  <c:v>45519</c:v>
                </c:pt>
                <c:pt idx="180">
                  <c:v>45520</c:v>
                </c:pt>
                <c:pt idx="181">
                  <c:v>45523</c:v>
                </c:pt>
                <c:pt idx="182">
                  <c:v>45524</c:v>
                </c:pt>
                <c:pt idx="183">
                  <c:v>45525</c:v>
                </c:pt>
                <c:pt idx="184">
                  <c:v>45526</c:v>
                </c:pt>
                <c:pt idx="185">
                  <c:v>45527</c:v>
                </c:pt>
                <c:pt idx="186">
                  <c:v>45530</c:v>
                </c:pt>
                <c:pt idx="187">
                  <c:v>45531</c:v>
                </c:pt>
                <c:pt idx="188">
                  <c:v>45532</c:v>
                </c:pt>
                <c:pt idx="189">
                  <c:v>45533</c:v>
                </c:pt>
                <c:pt idx="190">
                  <c:v>45534</c:v>
                </c:pt>
                <c:pt idx="191">
                  <c:v>45538</c:v>
                </c:pt>
                <c:pt idx="192">
                  <c:v>45539</c:v>
                </c:pt>
                <c:pt idx="193">
                  <c:v>45540</c:v>
                </c:pt>
                <c:pt idx="194">
                  <c:v>45541</c:v>
                </c:pt>
                <c:pt idx="195">
                  <c:v>45544</c:v>
                </c:pt>
                <c:pt idx="196">
                  <c:v>45545</c:v>
                </c:pt>
                <c:pt idx="197">
                  <c:v>45546</c:v>
                </c:pt>
                <c:pt idx="198">
                  <c:v>45547</c:v>
                </c:pt>
                <c:pt idx="199">
                  <c:v>45548</c:v>
                </c:pt>
                <c:pt idx="200">
                  <c:v>45551</c:v>
                </c:pt>
                <c:pt idx="201">
                  <c:v>45552</c:v>
                </c:pt>
                <c:pt idx="202">
                  <c:v>45553</c:v>
                </c:pt>
                <c:pt idx="203">
                  <c:v>45554</c:v>
                </c:pt>
                <c:pt idx="204">
                  <c:v>45555</c:v>
                </c:pt>
                <c:pt idx="205">
                  <c:v>45558</c:v>
                </c:pt>
                <c:pt idx="206">
                  <c:v>45559</c:v>
                </c:pt>
                <c:pt idx="207">
                  <c:v>45560</c:v>
                </c:pt>
                <c:pt idx="208">
                  <c:v>45561</c:v>
                </c:pt>
                <c:pt idx="209">
                  <c:v>45562</c:v>
                </c:pt>
                <c:pt idx="210">
                  <c:v>45565</c:v>
                </c:pt>
                <c:pt idx="211">
                  <c:v>45566</c:v>
                </c:pt>
                <c:pt idx="212">
                  <c:v>45567</c:v>
                </c:pt>
                <c:pt idx="213">
                  <c:v>45568</c:v>
                </c:pt>
                <c:pt idx="214">
                  <c:v>45569</c:v>
                </c:pt>
                <c:pt idx="215">
                  <c:v>45572</c:v>
                </c:pt>
                <c:pt idx="216">
                  <c:v>45573</c:v>
                </c:pt>
                <c:pt idx="217">
                  <c:v>45574</c:v>
                </c:pt>
                <c:pt idx="218">
                  <c:v>45575</c:v>
                </c:pt>
                <c:pt idx="219">
                  <c:v>45576</c:v>
                </c:pt>
                <c:pt idx="220">
                  <c:v>45579</c:v>
                </c:pt>
                <c:pt idx="221">
                  <c:v>45580</c:v>
                </c:pt>
                <c:pt idx="222">
                  <c:v>45581</c:v>
                </c:pt>
                <c:pt idx="223">
                  <c:v>45582</c:v>
                </c:pt>
                <c:pt idx="224">
                  <c:v>45583</c:v>
                </c:pt>
                <c:pt idx="225">
                  <c:v>45586</c:v>
                </c:pt>
                <c:pt idx="226">
                  <c:v>45587</c:v>
                </c:pt>
                <c:pt idx="227">
                  <c:v>45588</c:v>
                </c:pt>
                <c:pt idx="228">
                  <c:v>45589</c:v>
                </c:pt>
                <c:pt idx="229">
                  <c:v>45590</c:v>
                </c:pt>
                <c:pt idx="230">
                  <c:v>45593</c:v>
                </c:pt>
                <c:pt idx="231">
                  <c:v>45594</c:v>
                </c:pt>
                <c:pt idx="232">
                  <c:v>45595</c:v>
                </c:pt>
                <c:pt idx="233">
                  <c:v>45596</c:v>
                </c:pt>
                <c:pt idx="234">
                  <c:v>45597</c:v>
                </c:pt>
              </c:numCache>
            </c:numRef>
          </c:cat>
          <c:val>
            <c:numRef>
              <c:f>'Injected portfolio'!$L$2:$L$1657</c:f>
              <c:numCache>
                <c:formatCode>General</c:formatCode>
                <c:ptCount val="1656"/>
                <c:pt idx="0">
                  <c:v>999999.99999999895</c:v>
                </c:pt>
                <c:pt idx="1">
                  <c:v>1000600.92535977</c:v>
                </c:pt>
                <c:pt idx="2">
                  <c:v>1010294.65961184</c:v>
                </c:pt>
                <c:pt idx="3">
                  <c:v>1015913.4399921</c:v>
                </c:pt>
                <c:pt idx="4">
                  <c:v>1023325.73337898</c:v>
                </c:pt>
                <c:pt idx="5">
                  <c:v>1027902.53999012</c:v>
                </c:pt>
                <c:pt idx="6">
                  <c:v>1028316.09032805</c:v>
                </c:pt>
                <c:pt idx="7">
                  <c:v>1024095.67075262</c:v>
                </c:pt>
                <c:pt idx="8">
                  <c:v>1029891.95842088</c:v>
                </c:pt>
                <c:pt idx="9">
                  <c:v>1034770.6368345</c:v>
                </c:pt>
                <c:pt idx="10">
                  <c:v>1039972.76918475</c:v>
                </c:pt>
                <c:pt idx="11">
                  <c:v>1056466.1880930001</c:v>
                </c:pt>
                <c:pt idx="12">
                  <c:v>1038924.33950148</c:v>
                </c:pt>
                <c:pt idx="13">
                  <c:v>1042914.65301946</c:v>
                </c:pt>
                <c:pt idx="14">
                  <c:v>1052964.19779661</c:v>
                </c:pt>
                <c:pt idx="15">
                  <c:v>1051968.9058405</c:v>
                </c:pt>
                <c:pt idx="16">
                  <c:v>1035323.42832454</c:v>
                </c:pt>
                <c:pt idx="17">
                  <c:v>1042833.76198482</c:v>
                </c:pt>
                <c:pt idx="18">
                  <c:v>1050751.43783104</c:v>
                </c:pt>
                <c:pt idx="19">
                  <c:v>1054841.31369934</c:v>
                </c:pt>
                <c:pt idx="20">
                  <c:v>1062757.3410996699</c:v>
                </c:pt>
                <c:pt idx="21">
                  <c:v>1065229.25715302</c:v>
                </c:pt>
                <c:pt idx="22">
                  <c:v>1065937.19185037</c:v>
                </c:pt>
                <c:pt idx="23">
                  <c:v>1075222.95844299</c:v>
                </c:pt>
                <c:pt idx="24">
                  <c:v>1080575.4971892801</c:v>
                </c:pt>
                <c:pt idx="25">
                  <c:v>1086744.8856818599</c:v>
                </c:pt>
                <c:pt idx="26">
                  <c:v>1085434.47782522</c:v>
                </c:pt>
                <c:pt idx="27">
                  <c:v>1093359.9809996099</c:v>
                </c:pt>
                <c:pt idx="28">
                  <c:v>1089930.48914779</c:v>
                </c:pt>
                <c:pt idx="29">
                  <c:v>1091746.28365585</c:v>
                </c:pt>
                <c:pt idx="30">
                  <c:v>1092204.6517597099</c:v>
                </c:pt>
                <c:pt idx="31">
                  <c:v>1107479.4251041301</c:v>
                </c:pt>
                <c:pt idx="32">
                  <c:v>1100504.0957115099</c:v>
                </c:pt>
                <c:pt idx="33">
                  <c:v>1098997.9943397299</c:v>
                </c:pt>
                <c:pt idx="34">
                  <c:v>1100583.6586928</c:v>
                </c:pt>
                <c:pt idx="35">
                  <c:v>1110484.9327857599</c:v>
                </c:pt>
                <c:pt idx="36">
                  <c:v>1114393.0281934501</c:v>
                </c:pt>
                <c:pt idx="37">
                  <c:v>1115710.45090117</c:v>
                </c:pt>
                <c:pt idx="38">
                  <c:v>1121532.1362558401</c:v>
                </c:pt>
                <c:pt idx="39">
                  <c:v>1144567.36144763</c:v>
                </c:pt>
                <c:pt idx="40">
                  <c:v>1148122.5462986301</c:v>
                </c:pt>
                <c:pt idx="41">
                  <c:v>1153405.4645901199</c:v>
                </c:pt>
                <c:pt idx="42">
                  <c:v>1160831.6747785299</c:v>
                </c:pt>
                <c:pt idx="43">
                  <c:v>1149541.2047333999</c:v>
                </c:pt>
                <c:pt idx="44">
                  <c:v>1172466.44313615</c:v>
                </c:pt>
                <c:pt idx="45">
                  <c:v>1176299.8107673801</c:v>
                </c:pt>
                <c:pt idx="46">
                  <c:v>1184818.0046345</c:v>
                </c:pt>
                <c:pt idx="47">
                  <c:v>1183237.3627468999</c:v>
                </c:pt>
                <c:pt idx="48">
                  <c:v>1182712.19884655</c:v>
                </c:pt>
                <c:pt idx="49">
                  <c:v>1187602.79028646</c:v>
                </c:pt>
                <c:pt idx="50">
                  <c:v>1187414.44052955</c:v>
                </c:pt>
                <c:pt idx="51">
                  <c:v>1187609.81754519</c:v>
                </c:pt>
                <c:pt idx="52">
                  <c:v>1180575.55937402</c:v>
                </c:pt>
                <c:pt idx="53">
                  <c:v>1189699.94321703</c:v>
                </c:pt>
                <c:pt idx="54">
                  <c:v>1198288.5366131</c:v>
                </c:pt>
                <c:pt idx="55">
                  <c:v>1206036.62166602</c:v>
                </c:pt>
                <c:pt idx="56">
                  <c:v>1193912.38234202</c:v>
                </c:pt>
                <c:pt idx="57">
                  <c:v>1188280.22053749</c:v>
                </c:pt>
                <c:pt idx="58">
                  <c:v>1209227.1044411501</c:v>
                </c:pt>
                <c:pt idx="59">
                  <c:v>1215623.22003479</c:v>
                </c:pt>
                <c:pt idx="60">
                  <c:v>1209975.4377218699</c:v>
                </c:pt>
                <c:pt idx="61">
                  <c:v>1203767.2631033701</c:v>
                </c:pt>
                <c:pt idx="62">
                  <c:v>1202783.9578656401</c:v>
                </c:pt>
                <c:pt idx="63">
                  <c:v>1195037.4066409301</c:v>
                </c:pt>
                <c:pt idx="64">
                  <c:v>1211194.8768543401</c:v>
                </c:pt>
                <c:pt idx="65">
                  <c:v>1217028.54211967</c:v>
                </c:pt>
                <c:pt idx="66">
                  <c:v>1208452.43225587</c:v>
                </c:pt>
                <c:pt idx="67">
                  <c:v>1219665.6203089401</c:v>
                </c:pt>
                <c:pt idx="68">
                  <c:v>1221482.6383200299</c:v>
                </c:pt>
                <c:pt idx="69">
                  <c:v>1200075.4730892901</c:v>
                </c:pt>
                <c:pt idx="70">
                  <c:v>1187561.8842573499</c:v>
                </c:pt>
                <c:pt idx="71">
                  <c:v>1205854.98019657</c:v>
                </c:pt>
                <c:pt idx="72">
                  <c:v>1204975.81791639</c:v>
                </c:pt>
                <c:pt idx="73">
                  <c:v>1197756.2689338599</c:v>
                </c:pt>
                <c:pt idx="74">
                  <c:v>1193041.57200543</c:v>
                </c:pt>
                <c:pt idx="75">
                  <c:v>1199562.52985492</c:v>
                </c:pt>
                <c:pt idx="76">
                  <c:v>1207697.1674337201</c:v>
                </c:pt>
                <c:pt idx="77">
                  <c:v>1217443.6696355499</c:v>
                </c:pt>
                <c:pt idx="78">
                  <c:v>1214718.66464093</c:v>
                </c:pt>
                <c:pt idx="79">
                  <c:v>1210759.08483175</c:v>
                </c:pt>
                <c:pt idx="80">
                  <c:v>1210002.68100889</c:v>
                </c:pt>
                <c:pt idx="81">
                  <c:v>1210779.3665626999</c:v>
                </c:pt>
                <c:pt idx="82">
                  <c:v>1230519.1555376099</c:v>
                </c:pt>
                <c:pt idx="83">
                  <c:v>1231896.1469008201</c:v>
                </c:pt>
                <c:pt idx="84">
                  <c:v>1228827.8669106101</c:v>
                </c:pt>
                <c:pt idx="85">
                  <c:v>1223840.8311288401</c:v>
                </c:pt>
                <c:pt idx="86">
                  <c:v>1223440.7449080599</c:v>
                </c:pt>
                <c:pt idx="87">
                  <c:v>1213363.24473865</c:v>
                </c:pt>
                <c:pt idx="88">
                  <c:v>1223659.1589224699</c:v>
                </c:pt>
                <c:pt idx="89">
                  <c:v>1218133.9674122899</c:v>
                </c:pt>
                <c:pt idx="90">
                  <c:v>1213085.36244411</c:v>
                </c:pt>
                <c:pt idx="91">
                  <c:v>1208279.21295195</c:v>
                </c:pt>
                <c:pt idx="92">
                  <c:v>1207802.5234207099</c:v>
                </c:pt>
                <c:pt idx="93">
                  <c:v>1200316.84053225</c:v>
                </c:pt>
                <c:pt idx="94">
                  <c:v>1194575.53977979</c:v>
                </c:pt>
                <c:pt idx="95">
                  <c:v>1194068.70128482</c:v>
                </c:pt>
                <c:pt idx="96">
                  <c:v>1196519.0062512599</c:v>
                </c:pt>
                <c:pt idx="97">
                  <c:v>1193069.9827322001</c:v>
                </c:pt>
                <c:pt idx="98">
                  <c:v>1192645.50431082</c:v>
                </c:pt>
                <c:pt idx="99">
                  <c:v>1203349.6452138501</c:v>
                </c:pt>
                <c:pt idx="100">
                  <c:v>1212411.5967913</c:v>
                </c:pt>
                <c:pt idx="101">
                  <c:v>1209069.2421659001</c:v>
                </c:pt>
                <c:pt idx="102">
                  <c:v>1197548.21341726</c:v>
                </c:pt>
                <c:pt idx="103">
                  <c:v>1204503.19152352</c:v>
                </c:pt>
                <c:pt idx="104">
                  <c:v>1204754.3331969599</c:v>
                </c:pt>
                <c:pt idx="105">
                  <c:v>1216323.7094053801</c:v>
                </c:pt>
                <c:pt idx="106">
                  <c:v>1210443.0455964401</c:v>
                </c:pt>
                <c:pt idx="107">
                  <c:v>1209506.11985305</c:v>
                </c:pt>
                <c:pt idx="108">
                  <c:v>1206380.61986696</c:v>
                </c:pt>
                <c:pt idx="109">
                  <c:v>1223811.81136741</c:v>
                </c:pt>
                <c:pt idx="110">
                  <c:v>1239418.47861728</c:v>
                </c:pt>
                <c:pt idx="111">
                  <c:v>1234469.36583793</c:v>
                </c:pt>
                <c:pt idx="112">
                  <c:v>1242141.58575252</c:v>
                </c:pt>
                <c:pt idx="113">
                  <c:v>1247389.5316878201</c:v>
                </c:pt>
                <c:pt idx="114">
                  <c:v>1239143.0431641899</c:v>
                </c:pt>
                <c:pt idx="115">
                  <c:v>1239691.2487425599</c:v>
                </c:pt>
                <c:pt idx="116">
                  <c:v>1252039.89706307</c:v>
                </c:pt>
                <c:pt idx="117">
                  <c:v>1252121.9956817599</c:v>
                </c:pt>
                <c:pt idx="118">
                  <c:v>1256105.74838773</c:v>
                </c:pt>
                <c:pt idx="119">
                  <c:v>1257442.6194465701</c:v>
                </c:pt>
                <c:pt idx="120">
                  <c:v>1264934.1307023701</c:v>
                </c:pt>
                <c:pt idx="121">
                  <c:v>1265547.45714113</c:v>
                </c:pt>
                <c:pt idx="122">
                  <c:v>1255500.2505534899</c:v>
                </c:pt>
                <c:pt idx="123">
                  <c:v>1258481.73384405</c:v>
                </c:pt>
                <c:pt idx="124">
                  <c:v>1246856.53164544</c:v>
                </c:pt>
                <c:pt idx="125">
                  <c:v>1238480.96033302</c:v>
                </c:pt>
                <c:pt idx="126">
                  <c:v>1240389.67601632</c:v>
                </c:pt>
                <c:pt idx="127">
                  <c:v>1251565.04176584</c:v>
                </c:pt>
                <c:pt idx="128">
                  <c:v>1255454.27818741</c:v>
                </c:pt>
                <c:pt idx="129">
                  <c:v>1262798.9839077699</c:v>
                </c:pt>
                <c:pt idx="130">
                  <c:v>1265404.5092660801</c:v>
                </c:pt>
                <c:pt idx="131">
                  <c:v>1270986.4316881101</c:v>
                </c:pt>
                <c:pt idx="132">
                  <c:v>1273479.40325818</c:v>
                </c:pt>
                <c:pt idx="133">
                  <c:v>1272861.0605681101</c:v>
                </c:pt>
                <c:pt idx="134">
                  <c:v>1271732.35014938</c:v>
                </c:pt>
                <c:pt idx="135">
                  <c:v>1265626.6035371199</c:v>
                </c:pt>
                <c:pt idx="136">
                  <c:v>1267193.14715113</c:v>
                </c:pt>
                <c:pt idx="137">
                  <c:v>1268437.0269802499</c:v>
                </c:pt>
                <c:pt idx="138">
                  <c:v>1275321.9903023599</c:v>
                </c:pt>
                <c:pt idx="139">
                  <c:v>1283288.7630957901</c:v>
                </c:pt>
                <c:pt idx="140">
                  <c:v>1285604.7236213901</c:v>
                </c:pt>
                <c:pt idx="141">
                  <c:v>1284045.78568065</c:v>
                </c:pt>
                <c:pt idx="142">
                  <c:v>1296034.3521577599</c:v>
                </c:pt>
                <c:pt idx="143">
                  <c:v>1294059.59827343</c:v>
                </c:pt>
                <c:pt idx="144">
                  <c:v>1289924.65715525</c:v>
                </c:pt>
                <c:pt idx="145">
                  <c:v>1282335.79678303</c:v>
                </c:pt>
                <c:pt idx="146">
                  <c:v>1266399.8169122301</c:v>
                </c:pt>
                <c:pt idx="147">
                  <c:v>1267002.0440521301</c:v>
                </c:pt>
                <c:pt idx="148">
                  <c:v>1271919.48787349</c:v>
                </c:pt>
                <c:pt idx="149">
                  <c:v>1269000.13719244</c:v>
                </c:pt>
                <c:pt idx="150">
                  <c:v>1282304.62496183</c:v>
                </c:pt>
                <c:pt idx="151">
                  <c:v>1282003.5764053899</c:v>
                </c:pt>
                <c:pt idx="152">
                  <c:v>1283756.3270596501</c:v>
                </c:pt>
                <c:pt idx="153">
                  <c:v>1290322.3280031499</c:v>
                </c:pt>
                <c:pt idx="154">
                  <c:v>1284347.2872161099</c:v>
                </c:pt>
                <c:pt idx="155">
                  <c:v>1289622.4169512501</c:v>
                </c:pt>
                <c:pt idx="156">
                  <c:v>1292354.7209860601</c:v>
                </c:pt>
                <c:pt idx="157">
                  <c:v>1301381.48855088</c:v>
                </c:pt>
                <c:pt idx="158">
                  <c:v>1310879.88668362</c:v>
                </c:pt>
                <c:pt idx="159">
                  <c:v>1299276.0858386799</c:v>
                </c:pt>
                <c:pt idx="160">
                  <c:v>1294601.91374974</c:v>
                </c:pt>
                <c:pt idx="161">
                  <c:v>1300561.1564174299</c:v>
                </c:pt>
                <c:pt idx="162">
                  <c:v>1297889.5501893701</c:v>
                </c:pt>
                <c:pt idx="163">
                  <c:v>1286280.49562283</c:v>
                </c:pt>
                <c:pt idx="164">
                  <c:v>1283055.9044131199</c:v>
                </c:pt>
                <c:pt idx="165">
                  <c:v>1294185.5920609401</c:v>
                </c:pt>
                <c:pt idx="166">
                  <c:v>1299464.3722359</c:v>
                </c:pt>
                <c:pt idx="167">
                  <c:v>1282317.9180692199</c:v>
                </c:pt>
                <c:pt idx="168">
                  <c:v>1281507.6625242699</c:v>
                </c:pt>
                <c:pt idx="169">
                  <c:v>1288591.6038146899</c:v>
                </c:pt>
                <c:pt idx="170">
                  <c:v>1295634.4454731799</c:v>
                </c:pt>
                <c:pt idx="171">
                  <c:v>1261577.47420475</c:v>
                </c:pt>
                <c:pt idx="172">
                  <c:v>1278530.4968272401</c:v>
                </c:pt>
                <c:pt idx="173">
                  <c:v>1278458.1926647001</c:v>
                </c:pt>
                <c:pt idx="174">
                  <c:v>1309928.7055428601</c:v>
                </c:pt>
                <c:pt idx="175">
                  <c:v>1323566.45513244</c:v>
                </c:pt>
                <c:pt idx="176">
                  <c:v>1316501.08734013</c:v>
                </c:pt>
                <c:pt idx="177">
                  <c:v>1326246.1391916601</c:v>
                </c:pt>
                <c:pt idx="178">
                  <c:v>1340226.61304583</c:v>
                </c:pt>
                <c:pt idx="179">
                  <c:v>1340959.2680929101</c:v>
                </c:pt>
                <c:pt idx="180">
                  <c:v>1342393.8597921799</c:v>
                </c:pt>
                <c:pt idx="181">
                  <c:v>1345316.96637273</c:v>
                </c:pt>
                <c:pt idx="182">
                  <c:v>1358684.6310123401</c:v>
                </c:pt>
                <c:pt idx="183">
                  <c:v>1361874.47941524</c:v>
                </c:pt>
                <c:pt idx="184">
                  <c:v>1363726.15611983</c:v>
                </c:pt>
                <c:pt idx="185">
                  <c:v>1368023.83772922</c:v>
                </c:pt>
                <c:pt idx="186">
                  <c:v>1376197.03212863</c:v>
                </c:pt>
                <c:pt idx="187">
                  <c:v>1386397.3401351499</c:v>
                </c:pt>
                <c:pt idx="188">
                  <c:v>1381859.5539773901</c:v>
                </c:pt>
                <c:pt idx="189">
                  <c:v>1383143.8948793199</c:v>
                </c:pt>
                <c:pt idx="190">
                  <c:v>1398557.4210899</c:v>
                </c:pt>
                <c:pt idx="191">
                  <c:v>1402409.2693099701</c:v>
                </c:pt>
                <c:pt idx="192">
                  <c:v>1414099.1408754</c:v>
                </c:pt>
                <c:pt idx="193">
                  <c:v>1402719.61194376</c:v>
                </c:pt>
                <c:pt idx="194">
                  <c:v>1392513.06917831</c:v>
                </c:pt>
                <c:pt idx="195">
                  <c:v>1402386.4356406301</c:v>
                </c:pt>
                <c:pt idx="196">
                  <c:v>1397826.7529625299</c:v>
                </c:pt>
                <c:pt idx="197">
                  <c:v>1392446.3530863801</c:v>
                </c:pt>
                <c:pt idx="198">
                  <c:v>1396520.3071920599</c:v>
                </c:pt>
                <c:pt idx="199">
                  <c:v>1398431.78891569</c:v>
                </c:pt>
                <c:pt idx="200">
                  <c:v>1398170.8254043299</c:v>
                </c:pt>
                <c:pt idx="201">
                  <c:v>1382085.16482349</c:v>
                </c:pt>
                <c:pt idx="202">
                  <c:v>1376000.94088704</c:v>
                </c:pt>
                <c:pt idx="203">
                  <c:v>1373311.7722122001</c:v>
                </c:pt>
                <c:pt idx="204">
                  <c:v>1383353.0862101701</c:v>
                </c:pt>
                <c:pt idx="205">
                  <c:v>1393181.6866343999</c:v>
                </c:pt>
                <c:pt idx="206">
                  <c:v>1387963.43198927</c:v>
                </c:pt>
                <c:pt idx="207">
                  <c:v>1388928.1684174601</c:v>
                </c:pt>
                <c:pt idx="208">
                  <c:v>1380592.1502871399</c:v>
                </c:pt>
                <c:pt idx="209">
                  <c:v>1376932.92563302</c:v>
                </c:pt>
                <c:pt idx="210">
                  <c:v>1378291.9624214801</c:v>
                </c:pt>
                <c:pt idx="211">
                  <c:v>1378291.9624214801</c:v>
                </c:pt>
                <c:pt idx="212">
                  <c:v>1378424.3079710701</c:v>
                </c:pt>
                <c:pt idx="213">
                  <c:v>1365326.8271411899</c:v>
                </c:pt>
                <c:pt idx="214">
                  <c:v>1358866.5296813999</c:v>
                </c:pt>
                <c:pt idx="215">
                  <c:v>1340255.09821997</c:v>
                </c:pt>
                <c:pt idx="216">
                  <c:v>1354078.10694472</c:v>
                </c:pt>
                <c:pt idx="217">
                  <c:v>1362929.88143075</c:v>
                </c:pt>
                <c:pt idx="218">
                  <c:v>1354542.4535688499</c:v>
                </c:pt>
                <c:pt idx="219">
                  <c:v>1364112.7788783</c:v>
                </c:pt>
                <c:pt idx="220">
                  <c:v>1373051.8440602501</c:v>
                </c:pt>
                <c:pt idx="221">
                  <c:v>1381421.4327432299</c:v>
                </c:pt>
                <c:pt idx="222">
                  <c:v>1388467.7039854</c:v>
                </c:pt>
                <c:pt idx="223">
                  <c:v>1386909.22024663</c:v>
                </c:pt>
                <c:pt idx="224">
                  <c:v>1392618.9374577601</c:v>
                </c:pt>
                <c:pt idx="225">
                  <c:v>1380569.03217933</c:v>
                </c:pt>
                <c:pt idx="226">
                  <c:v>1384342.3402023499</c:v>
                </c:pt>
                <c:pt idx="227">
                  <c:v>1382924.7731001701</c:v>
                </c:pt>
                <c:pt idx="228">
                  <c:v>1375050.13931632</c:v>
                </c:pt>
                <c:pt idx="229">
                  <c:v>1354836.50588112</c:v>
                </c:pt>
                <c:pt idx="230">
                  <c:v>1354768.8479202499</c:v>
                </c:pt>
                <c:pt idx="231">
                  <c:v>1336802.4102657801</c:v>
                </c:pt>
                <c:pt idx="232">
                  <c:v>1326778.8941718901</c:v>
                </c:pt>
                <c:pt idx="233">
                  <c:v>1325631.5615620001</c:v>
                </c:pt>
                <c:pt idx="234">
                  <c:v>1311983.3787539599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F-4F0D-924A-9E05CF3D19D8}"/>
            </c:ext>
          </c:extLst>
        </c:ser>
        <c:ser>
          <c:idx val="1"/>
          <c:order val="1"/>
          <c:tx>
            <c:strRef>
              <c:f>'Injected portfolio'!$M$1</c:f>
              <c:strCache>
                <c:ptCount val="1"/>
                <c:pt idx="0">
                  <c:v>oex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portfolio'!$K$2:$K$1657</c:f>
              <c:numCache>
                <c:formatCode>m/d/yyyy</c:formatCode>
                <c:ptCount val="165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  <c:pt idx="86">
                  <c:v>45385</c:v>
                </c:pt>
                <c:pt idx="87">
                  <c:v>45386</c:v>
                </c:pt>
                <c:pt idx="88">
                  <c:v>45387</c:v>
                </c:pt>
                <c:pt idx="89">
                  <c:v>45390</c:v>
                </c:pt>
                <c:pt idx="90">
                  <c:v>45391</c:v>
                </c:pt>
                <c:pt idx="91">
                  <c:v>45392</c:v>
                </c:pt>
                <c:pt idx="92">
                  <c:v>45393</c:v>
                </c:pt>
                <c:pt idx="93">
                  <c:v>45394</c:v>
                </c:pt>
                <c:pt idx="94">
                  <c:v>45397</c:v>
                </c:pt>
                <c:pt idx="95">
                  <c:v>45398</c:v>
                </c:pt>
                <c:pt idx="96">
                  <c:v>45399</c:v>
                </c:pt>
                <c:pt idx="97">
                  <c:v>45400</c:v>
                </c:pt>
                <c:pt idx="98">
                  <c:v>45401</c:v>
                </c:pt>
                <c:pt idx="99">
                  <c:v>45404</c:v>
                </c:pt>
                <c:pt idx="100">
                  <c:v>45405</c:v>
                </c:pt>
                <c:pt idx="101">
                  <c:v>45406</c:v>
                </c:pt>
                <c:pt idx="102">
                  <c:v>45407</c:v>
                </c:pt>
                <c:pt idx="103">
                  <c:v>45408</c:v>
                </c:pt>
                <c:pt idx="104">
                  <c:v>45411</c:v>
                </c:pt>
                <c:pt idx="105">
                  <c:v>45412</c:v>
                </c:pt>
                <c:pt idx="106">
                  <c:v>45413</c:v>
                </c:pt>
                <c:pt idx="107">
                  <c:v>45414</c:v>
                </c:pt>
                <c:pt idx="108">
                  <c:v>45415</c:v>
                </c:pt>
                <c:pt idx="109">
                  <c:v>45418</c:v>
                </c:pt>
                <c:pt idx="110">
                  <c:v>45419</c:v>
                </c:pt>
                <c:pt idx="111">
                  <c:v>45420</c:v>
                </c:pt>
                <c:pt idx="112">
                  <c:v>45421</c:v>
                </c:pt>
                <c:pt idx="113">
                  <c:v>45422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45432</c:v>
                </c:pt>
                <c:pt idx="120">
                  <c:v>45433</c:v>
                </c:pt>
                <c:pt idx="121">
                  <c:v>45434</c:v>
                </c:pt>
                <c:pt idx="122">
                  <c:v>45435</c:v>
                </c:pt>
                <c:pt idx="123">
                  <c:v>45436</c:v>
                </c:pt>
                <c:pt idx="124">
                  <c:v>45440</c:v>
                </c:pt>
                <c:pt idx="125">
                  <c:v>45441</c:v>
                </c:pt>
                <c:pt idx="126">
                  <c:v>45442</c:v>
                </c:pt>
                <c:pt idx="127">
                  <c:v>45443</c:v>
                </c:pt>
                <c:pt idx="128">
                  <c:v>45446</c:v>
                </c:pt>
                <c:pt idx="129">
                  <c:v>45447</c:v>
                </c:pt>
                <c:pt idx="130">
                  <c:v>45448</c:v>
                </c:pt>
                <c:pt idx="131">
                  <c:v>45449</c:v>
                </c:pt>
                <c:pt idx="132">
                  <c:v>45450</c:v>
                </c:pt>
                <c:pt idx="133">
                  <c:v>45453</c:v>
                </c:pt>
                <c:pt idx="134">
                  <c:v>45454</c:v>
                </c:pt>
                <c:pt idx="135">
                  <c:v>45455</c:v>
                </c:pt>
                <c:pt idx="136">
                  <c:v>45456</c:v>
                </c:pt>
                <c:pt idx="137">
                  <c:v>45457</c:v>
                </c:pt>
                <c:pt idx="138">
                  <c:v>45460</c:v>
                </c:pt>
                <c:pt idx="139">
                  <c:v>45461</c:v>
                </c:pt>
                <c:pt idx="140">
                  <c:v>45463</c:v>
                </c:pt>
                <c:pt idx="141">
                  <c:v>45464</c:v>
                </c:pt>
                <c:pt idx="142">
                  <c:v>45467</c:v>
                </c:pt>
                <c:pt idx="143">
                  <c:v>45468</c:v>
                </c:pt>
                <c:pt idx="144">
                  <c:v>45469</c:v>
                </c:pt>
                <c:pt idx="145">
                  <c:v>45470</c:v>
                </c:pt>
                <c:pt idx="146">
                  <c:v>45471</c:v>
                </c:pt>
                <c:pt idx="147">
                  <c:v>45474</c:v>
                </c:pt>
                <c:pt idx="148">
                  <c:v>45475</c:v>
                </c:pt>
                <c:pt idx="149">
                  <c:v>45476</c:v>
                </c:pt>
                <c:pt idx="150">
                  <c:v>45478</c:v>
                </c:pt>
                <c:pt idx="151">
                  <c:v>45481</c:v>
                </c:pt>
                <c:pt idx="152">
                  <c:v>45482</c:v>
                </c:pt>
                <c:pt idx="153">
                  <c:v>45483</c:v>
                </c:pt>
                <c:pt idx="154">
                  <c:v>45484</c:v>
                </c:pt>
                <c:pt idx="155">
                  <c:v>45485</c:v>
                </c:pt>
                <c:pt idx="156">
                  <c:v>45488</c:v>
                </c:pt>
                <c:pt idx="157">
                  <c:v>45489</c:v>
                </c:pt>
                <c:pt idx="158">
                  <c:v>45490</c:v>
                </c:pt>
                <c:pt idx="159">
                  <c:v>45491</c:v>
                </c:pt>
                <c:pt idx="160">
                  <c:v>45492</c:v>
                </c:pt>
                <c:pt idx="161">
                  <c:v>45495</c:v>
                </c:pt>
                <c:pt idx="162">
                  <c:v>45496</c:v>
                </c:pt>
                <c:pt idx="163">
                  <c:v>45497</c:v>
                </c:pt>
                <c:pt idx="164">
                  <c:v>45498</c:v>
                </c:pt>
                <c:pt idx="165">
                  <c:v>45499</c:v>
                </c:pt>
                <c:pt idx="166">
                  <c:v>45502</c:v>
                </c:pt>
                <c:pt idx="167">
                  <c:v>45503</c:v>
                </c:pt>
                <c:pt idx="168">
                  <c:v>45504</c:v>
                </c:pt>
                <c:pt idx="169">
                  <c:v>45505</c:v>
                </c:pt>
                <c:pt idx="170">
                  <c:v>45506</c:v>
                </c:pt>
                <c:pt idx="171">
                  <c:v>45509</c:v>
                </c:pt>
                <c:pt idx="172">
                  <c:v>45510</c:v>
                </c:pt>
                <c:pt idx="173">
                  <c:v>45511</c:v>
                </c:pt>
                <c:pt idx="174">
                  <c:v>45512</c:v>
                </c:pt>
                <c:pt idx="175">
                  <c:v>45513</c:v>
                </c:pt>
                <c:pt idx="176">
                  <c:v>45516</c:v>
                </c:pt>
                <c:pt idx="177">
                  <c:v>45517</c:v>
                </c:pt>
                <c:pt idx="178">
                  <c:v>45518</c:v>
                </c:pt>
                <c:pt idx="179">
                  <c:v>45519</c:v>
                </c:pt>
                <c:pt idx="180">
                  <c:v>45520</c:v>
                </c:pt>
                <c:pt idx="181">
                  <c:v>45523</c:v>
                </c:pt>
                <c:pt idx="182">
                  <c:v>45524</c:v>
                </c:pt>
                <c:pt idx="183">
                  <c:v>45525</c:v>
                </c:pt>
                <c:pt idx="184">
                  <c:v>45526</c:v>
                </c:pt>
                <c:pt idx="185">
                  <c:v>45527</c:v>
                </c:pt>
                <c:pt idx="186">
                  <c:v>45530</c:v>
                </c:pt>
                <c:pt idx="187">
                  <c:v>45531</c:v>
                </c:pt>
                <c:pt idx="188">
                  <c:v>45532</c:v>
                </c:pt>
                <c:pt idx="189">
                  <c:v>45533</c:v>
                </c:pt>
                <c:pt idx="190">
                  <c:v>45534</c:v>
                </c:pt>
                <c:pt idx="191">
                  <c:v>45538</c:v>
                </c:pt>
                <c:pt idx="192">
                  <c:v>45539</c:v>
                </c:pt>
                <c:pt idx="193">
                  <c:v>45540</c:v>
                </c:pt>
                <c:pt idx="194">
                  <c:v>45541</c:v>
                </c:pt>
                <c:pt idx="195">
                  <c:v>45544</c:v>
                </c:pt>
                <c:pt idx="196">
                  <c:v>45545</c:v>
                </c:pt>
                <c:pt idx="197">
                  <c:v>45546</c:v>
                </c:pt>
                <c:pt idx="198">
                  <c:v>45547</c:v>
                </c:pt>
                <c:pt idx="199">
                  <c:v>45548</c:v>
                </c:pt>
                <c:pt idx="200">
                  <c:v>45551</c:v>
                </c:pt>
                <c:pt idx="201">
                  <c:v>45552</c:v>
                </c:pt>
                <c:pt idx="202">
                  <c:v>45553</c:v>
                </c:pt>
                <c:pt idx="203">
                  <c:v>45554</c:v>
                </c:pt>
                <c:pt idx="204">
                  <c:v>45555</c:v>
                </c:pt>
                <c:pt idx="205">
                  <c:v>45558</c:v>
                </c:pt>
                <c:pt idx="206">
                  <c:v>45559</c:v>
                </c:pt>
                <c:pt idx="207">
                  <c:v>45560</c:v>
                </c:pt>
                <c:pt idx="208">
                  <c:v>45561</c:v>
                </c:pt>
                <c:pt idx="209">
                  <c:v>45562</c:v>
                </c:pt>
                <c:pt idx="210">
                  <c:v>45565</c:v>
                </c:pt>
                <c:pt idx="211">
                  <c:v>45566</c:v>
                </c:pt>
                <c:pt idx="212">
                  <c:v>45567</c:v>
                </c:pt>
                <c:pt idx="213">
                  <c:v>45568</c:v>
                </c:pt>
                <c:pt idx="214">
                  <c:v>45569</c:v>
                </c:pt>
                <c:pt idx="215">
                  <c:v>45572</c:v>
                </c:pt>
                <c:pt idx="216">
                  <c:v>45573</c:v>
                </c:pt>
                <c:pt idx="217">
                  <c:v>45574</c:v>
                </c:pt>
                <c:pt idx="218">
                  <c:v>45575</c:v>
                </c:pt>
                <c:pt idx="219">
                  <c:v>45576</c:v>
                </c:pt>
                <c:pt idx="220">
                  <c:v>45579</c:v>
                </c:pt>
                <c:pt idx="221">
                  <c:v>45580</c:v>
                </c:pt>
                <c:pt idx="222">
                  <c:v>45581</c:v>
                </c:pt>
                <c:pt idx="223">
                  <c:v>45582</c:v>
                </c:pt>
                <c:pt idx="224">
                  <c:v>45583</c:v>
                </c:pt>
                <c:pt idx="225">
                  <c:v>45586</c:v>
                </c:pt>
                <c:pt idx="226">
                  <c:v>45587</c:v>
                </c:pt>
                <c:pt idx="227">
                  <c:v>45588</c:v>
                </c:pt>
                <c:pt idx="228">
                  <c:v>45589</c:v>
                </c:pt>
                <c:pt idx="229">
                  <c:v>45590</c:v>
                </c:pt>
                <c:pt idx="230">
                  <c:v>45593</c:v>
                </c:pt>
                <c:pt idx="231">
                  <c:v>45594</c:v>
                </c:pt>
                <c:pt idx="232">
                  <c:v>45595</c:v>
                </c:pt>
                <c:pt idx="233">
                  <c:v>45596</c:v>
                </c:pt>
                <c:pt idx="234">
                  <c:v>45597</c:v>
                </c:pt>
              </c:numCache>
            </c:numRef>
          </c:cat>
          <c:val>
            <c:numRef>
              <c:f>'Injected portfolio'!$M$2:$M$1657</c:f>
              <c:numCache>
                <c:formatCode>General</c:formatCode>
                <c:ptCount val="1656"/>
                <c:pt idx="0">
                  <c:v>1000000</c:v>
                </c:pt>
                <c:pt idx="1">
                  <c:v>997490.79088550096</c:v>
                </c:pt>
                <c:pt idx="2">
                  <c:v>999313.47766871797</c:v>
                </c:pt>
                <c:pt idx="3">
                  <c:v>1001697.4527904</c:v>
                </c:pt>
                <c:pt idx="4">
                  <c:v>994415.87740565895</c:v>
                </c:pt>
                <c:pt idx="5">
                  <c:v>997597.45491915895</c:v>
                </c:pt>
                <c:pt idx="6">
                  <c:v>992458.67165005801</c:v>
                </c:pt>
                <c:pt idx="7">
                  <c:v>1002309.69528508</c:v>
                </c:pt>
                <c:pt idx="8">
                  <c:v>1007035.74988892</c:v>
                </c:pt>
                <c:pt idx="9">
                  <c:v>1006947.65581441</c:v>
                </c:pt>
                <c:pt idx="10">
                  <c:v>1012225.60054568</c:v>
                </c:pt>
                <c:pt idx="11">
                  <c:v>1023384.56075479</c:v>
                </c:pt>
                <c:pt idx="12">
                  <c:v>1023565.39139359</c:v>
                </c:pt>
                <c:pt idx="13">
                  <c:v>1026658.98806404</c:v>
                </c:pt>
                <c:pt idx="14">
                  <c:v>1032952.61897569</c:v>
                </c:pt>
                <c:pt idx="15">
                  <c:v>1038360.55342101</c:v>
                </c:pt>
                <c:pt idx="16">
                  <c:v>1024094.18230355</c:v>
                </c:pt>
                <c:pt idx="17">
                  <c:v>1033852.46937428</c:v>
                </c:pt>
                <c:pt idx="18">
                  <c:v>1034487.81108644</c:v>
                </c:pt>
                <c:pt idx="19">
                  <c:v>1038142.58286391</c:v>
                </c:pt>
                <c:pt idx="20">
                  <c:v>1039691.58921257</c:v>
                </c:pt>
                <c:pt idx="21">
                  <c:v>1040034.79376248</c:v>
                </c:pt>
                <c:pt idx="22">
                  <c:v>1037136.0684316501</c:v>
                </c:pt>
                <c:pt idx="23">
                  <c:v>1030304.36163047</c:v>
                </c:pt>
                <c:pt idx="24">
                  <c:v>1024534.76590754</c:v>
                </c:pt>
                <c:pt idx="25">
                  <c:v>1020175.12830256</c:v>
                </c:pt>
                <c:pt idx="26">
                  <c:v>1022466.2536285</c:v>
                </c:pt>
                <c:pt idx="27">
                  <c:v>1038239.96191799</c:v>
                </c:pt>
                <c:pt idx="28">
                  <c:v>1038026.63385068</c:v>
                </c:pt>
                <c:pt idx="29">
                  <c:v>1045062.3837396</c:v>
                </c:pt>
                <c:pt idx="30">
                  <c:v>1044450.14124492</c:v>
                </c:pt>
                <c:pt idx="31">
                  <c:v>1045577.13394873</c:v>
                </c:pt>
                <c:pt idx="32">
                  <c:v>1042307.46236073</c:v>
                </c:pt>
                <c:pt idx="33">
                  <c:v>1037145.35341123</c:v>
                </c:pt>
                <c:pt idx="34">
                  <c:v>1047200.420134</c:v>
                </c:pt>
                <c:pt idx="35">
                  <c:v>1062134.7436235901</c:v>
                </c:pt>
                <c:pt idx="36">
                  <c:v>1062691.2762408201</c:v>
                </c:pt>
                <c:pt idx="37">
                  <c:v>1067278.16938248</c:v>
                </c:pt>
                <c:pt idx="38">
                  <c:v>1070812.34965693</c:v>
                </c:pt>
                <c:pt idx="39">
                  <c:v>1074926.16176608</c:v>
                </c:pt>
                <c:pt idx="40">
                  <c:v>1074300.1050334999</c:v>
                </c:pt>
                <c:pt idx="41">
                  <c:v>1082611.29406798</c:v>
                </c:pt>
                <c:pt idx="42">
                  <c:v>1080960.15294399</c:v>
                </c:pt>
                <c:pt idx="43">
                  <c:v>1061383.33966674</c:v>
                </c:pt>
                <c:pt idx="44">
                  <c:v>1074522.71808039</c:v>
                </c:pt>
                <c:pt idx="45">
                  <c:v>1090959.62302077</c:v>
                </c:pt>
                <c:pt idx="46">
                  <c:v>1089160.14868649</c:v>
                </c:pt>
                <c:pt idx="47">
                  <c:v>1090829.7465381699</c:v>
                </c:pt>
                <c:pt idx="48">
                  <c:v>1100973.0205669</c:v>
                </c:pt>
                <c:pt idx="49">
                  <c:v>1100495.2970446099</c:v>
                </c:pt>
                <c:pt idx="50">
                  <c:v>1107925.3188711</c:v>
                </c:pt>
                <c:pt idx="51">
                  <c:v>1105569.1986881399</c:v>
                </c:pt>
                <c:pt idx="52">
                  <c:v>1091344.6099787699</c:v>
                </c:pt>
                <c:pt idx="53">
                  <c:v>1100857.0715536701</c:v>
                </c:pt>
                <c:pt idx="54">
                  <c:v>1104669.4615209999</c:v>
                </c:pt>
                <c:pt idx="55">
                  <c:v>1099085.3389266599</c:v>
                </c:pt>
                <c:pt idx="56">
                  <c:v>1091390.9216451801</c:v>
                </c:pt>
                <c:pt idx="57">
                  <c:v>1092745.2831171399</c:v>
                </c:pt>
                <c:pt idx="58">
                  <c:v>1120007.2286962899</c:v>
                </c:pt>
                <c:pt idx="59">
                  <c:v>1119390.34371182</c:v>
                </c:pt>
                <c:pt idx="60">
                  <c:v>1114126.2132184501</c:v>
                </c:pt>
                <c:pt idx="61">
                  <c:v>1115202.25176607</c:v>
                </c:pt>
                <c:pt idx="62">
                  <c:v>1112656.0159647199</c:v>
                </c:pt>
                <c:pt idx="63">
                  <c:v>1119265.1097190101</c:v>
                </c:pt>
                <c:pt idx="64">
                  <c:v>1128596.6274236599</c:v>
                </c:pt>
                <c:pt idx="65">
                  <c:v>1125438.2623590999</c:v>
                </c:pt>
                <c:pt idx="66">
                  <c:v>1112943.5106371799</c:v>
                </c:pt>
                <c:pt idx="67">
                  <c:v>1117813.36919298</c:v>
                </c:pt>
                <c:pt idx="68">
                  <c:v>1130600.25807713</c:v>
                </c:pt>
                <c:pt idx="69">
                  <c:v>1121240.88543376</c:v>
                </c:pt>
                <c:pt idx="70">
                  <c:v>1119483.08027612</c:v>
                </c:pt>
                <c:pt idx="71">
                  <c:v>1135484.0441022899</c:v>
                </c:pt>
                <c:pt idx="72">
                  <c:v>1132789.3618592001</c:v>
                </c:pt>
                <c:pt idx="73">
                  <c:v>1131968.4337869899</c:v>
                </c:pt>
                <c:pt idx="74">
                  <c:v>1122400.3755661</c:v>
                </c:pt>
                <c:pt idx="75">
                  <c:v>1131439.7561084901</c:v>
                </c:pt>
                <c:pt idx="76">
                  <c:v>1137742.78523117</c:v>
                </c:pt>
                <c:pt idx="77">
                  <c:v>1148637.3499853001</c:v>
                </c:pt>
                <c:pt idx="78">
                  <c:v>1149217.09505146</c:v>
                </c:pt>
                <c:pt idx="79">
                  <c:v>1149945.17332792</c:v>
                </c:pt>
                <c:pt idx="80">
                  <c:v>1146258.0173533999</c:v>
                </c:pt>
                <c:pt idx="81">
                  <c:v>1142079.2103872199</c:v>
                </c:pt>
                <c:pt idx="82">
                  <c:v>1149666.96363503</c:v>
                </c:pt>
                <c:pt idx="83">
                  <c:v>1149680.8911043999</c:v>
                </c:pt>
                <c:pt idx="84">
                  <c:v>1148887.70473946</c:v>
                </c:pt>
                <c:pt idx="85">
                  <c:v>1141318.63468225</c:v>
                </c:pt>
                <c:pt idx="86">
                  <c:v>1141981.8313331299</c:v>
                </c:pt>
                <c:pt idx="87">
                  <c:v>1127209.88175465</c:v>
                </c:pt>
                <c:pt idx="88">
                  <c:v>1140613.65562327</c:v>
                </c:pt>
                <c:pt idx="89">
                  <c:v>1139370.7139062199</c:v>
                </c:pt>
                <c:pt idx="90">
                  <c:v>1140395.6850661701</c:v>
                </c:pt>
                <c:pt idx="91">
                  <c:v>1132399.8456428701</c:v>
                </c:pt>
                <c:pt idx="92">
                  <c:v>1144537.35211405</c:v>
                </c:pt>
                <c:pt idx="93">
                  <c:v>1128336.98768992</c:v>
                </c:pt>
                <c:pt idx="94">
                  <c:v>1113722.7695327599</c:v>
                </c:pt>
                <c:pt idx="95">
                  <c:v>1112108.7683270699</c:v>
                </c:pt>
                <c:pt idx="96">
                  <c:v>1105476.4621238401</c:v>
                </c:pt>
                <c:pt idx="97">
                  <c:v>1103203.7935256001</c:v>
                </c:pt>
                <c:pt idx="98">
                  <c:v>1089308.48189677</c:v>
                </c:pt>
                <c:pt idx="99">
                  <c:v>1099479.61086424</c:v>
                </c:pt>
                <c:pt idx="100">
                  <c:v>1113871.1027430501</c:v>
                </c:pt>
                <c:pt idx="101">
                  <c:v>1113398.134942</c:v>
                </c:pt>
                <c:pt idx="102">
                  <c:v>1105865.9783401701</c:v>
                </c:pt>
                <c:pt idx="103">
                  <c:v>1121602.65994283</c:v>
                </c:pt>
                <c:pt idx="104">
                  <c:v>1124209.13487995</c:v>
                </c:pt>
                <c:pt idx="105">
                  <c:v>1106580.2423787201</c:v>
                </c:pt>
                <c:pt idx="106">
                  <c:v>1103356.8824571299</c:v>
                </c:pt>
                <c:pt idx="107">
                  <c:v>1114650.36163863</c:v>
                </c:pt>
                <c:pt idx="108">
                  <c:v>1131133.6914768801</c:v>
                </c:pt>
                <c:pt idx="109">
                  <c:v>1143507.7384643101</c:v>
                </c:pt>
                <c:pt idx="110">
                  <c:v>1143813.80309592</c:v>
                </c:pt>
                <c:pt idx="111">
                  <c:v>1144602.2337396201</c:v>
                </c:pt>
                <c:pt idx="112">
                  <c:v>1148576.9976180601</c:v>
                </c:pt>
                <c:pt idx="113">
                  <c:v>1150121.47470839</c:v>
                </c:pt>
                <c:pt idx="114">
                  <c:v>1151174.30080706</c:v>
                </c:pt>
                <c:pt idx="115">
                  <c:v>1157407.69258292</c:v>
                </c:pt>
                <c:pt idx="116">
                  <c:v>1171261.22180366</c:v>
                </c:pt>
                <c:pt idx="117">
                  <c:v>1168909.85734194</c:v>
                </c:pt>
                <c:pt idx="118">
                  <c:v>1169985.7826580999</c:v>
                </c:pt>
                <c:pt idx="119">
                  <c:v>1171414.3107351901</c:v>
                </c:pt>
                <c:pt idx="120">
                  <c:v>1176056.91375431</c:v>
                </c:pt>
                <c:pt idx="121">
                  <c:v>1172402.2552083</c:v>
                </c:pt>
                <c:pt idx="122">
                  <c:v>1166544.4521794</c:v>
                </c:pt>
                <c:pt idx="123">
                  <c:v>1174855.6412138899</c:v>
                </c:pt>
                <c:pt idx="124">
                  <c:v>1179558.5966002401</c:v>
                </c:pt>
                <c:pt idx="125">
                  <c:v>1173190.68585199</c:v>
                </c:pt>
                <c:pt idx="126">
                  <c:v>1161943.6315683799</c:v>
                </c:pt>
                <c:pt idx="127">
                  <c:v>1169531.2715847399</c:v>
                </c:pt>
                <c:pt idx="128">
                  <c:v>1174535.64911291</c:v>
                </c:pt>
                <c:pt idx="129">
                  <c:v>1178208.9908495201</c:v>
                </c:pt>
                <c:pt idx="130">
                  <c:v>1193393.6690932801</c:v>
                </c:pt>
                <c:pt idx="131">
                  <c:v>1194460.30942985</c:v>
                </c:pt>
                <c:pt idx="132">
                  <c:v>1194200.6696961201</c:v>
                </c:pt>
                <c:pt idx="133">
                  <c:v>1196417.6284169101</c:v>
                </c:pt>
                <c:pt idx="134">
                  <c:v>1202085.2025959699</c:v>
                </c:pt>
                <c:pt idx="135">
                  <c:v>1212794.1809900501</c:v>
                </c:pt>
                <c:pt idx="136">
                  <c:v>1218016.5290753299</c:v>
                </c:pt>
                <c:pt idx="137">
                  <c:v>1220873.58522953</c:v>
                </c:pt>
                <c:pt idx="138">
                  <c:v>1229759.87684039</c:v>
                </c:pt>
                <c:pt idx="139">
                  <c:v>1231805.1766705001</c:v>
                </c:pt>
                <c:pt idx="140">
                  <c:v>1228354.56121223</c:v>
                </c:pt>
                <c:pt idx="141">
                  <c:v>1225571.7848946301</c:v>
                </c:pt>
                <c:pt idx="142">
                  <c:v>1218698.29568537</c:v>
                </c:pt>
                <c:pt idx="143">
                  <c:v>1227528.9906502301</c:v>
                </c:pt>
                <c:pt idx="144">
                  <c:v>1233215.1347884501</c:v>
                </c:pt>
                <c:pt idx="145">
                  <c:v>1234249.3909279699</c:v>
                </c:pt>
                <c:pt idx="146">
                  <c:v>1226837.93906062</c:v>
                </c:pt>
                <c:pt idx="147">
                  <c:v>1235459.94844796</c:v>
                </c:pt>
                <c:pt idx="148">
                  <c:v>1243780.4224620101</c:v>
                </c:pt>
                <c:pt idx="149">
                  <c:v>1252147.32137395</c:v>
                </c:pt>
                <c:pt idx="150">
                  <c:v>1261937.99264174</c:v>
                </c:pt>
                <c:pt idx="151">
                  <c:v>1263218.0742770899</c:v>
                </c:pt>
                <c:pt idx="152">
                  <c:v>1265625.26184772</c:v>
                </c:pt>
                <c:pt idx="153">
                  <c:v>1279033.5649746701</c:v>
                </c:pt>
                <c:pt idx="154">
                  <c:v>1258547.7295507099</c:v>
                </c:pt>
                <c:pt idx="155">
                  <c:v>1264206.0187502</c:v>
                </c:pt>
                <c:pt idx="156">
                  <c:v>1268941.3583336</c:v>
                </c:pt>
                <c:pt idx="157">
                  <c:v>1272609.94434898</c:v>
                </c:pt>
                <c:pt idx="158">
                  <c:v>1253691.7984642801</c:v>
                </c:pt>
                <c:pt idx="159">
                  <c:v>1243956.72384249</c:v>
                </c:pt>
                <c:pt idx="160">
                  <c:v>1234374.6249207701</c:v>
                </c:pt>
                <c:pt idx="161">
                  <c:v>1247602.0974089201</c:v>
                </c:pt>
                <c:pt idx="162">
                  <c:v>1246943.5432478201</c:v>
                </c:pt>
                <c:pt idx="163">
                  <c:v>1213629.0365316099</c:v>
                </c:pt>
                <c:pt idx="164">
                  <c:v>1205424.51153079</c:v>
                </c:pt>
                <c:pt idx="165">
                  <c:v>1217784.63104885</c:v>
                </c:pt>
                <c:pt idx="166">
                  <c:v>1218471.0401486801</c:v>
                </c:pt>
                <c:pt idx="167">
                  <c:v>1209134.8799542501</c:v>
                </c:pt>
                <c:pt idx="168">
                  <c:v>1232143.7387306101</c:v>
                </c:pt>
                <c:pt idx="169">
                  <c:v>1214635.4377324099</c:v>
                </c:pt>
                <c:pt idx="170">
                  <c:v>1192730.3592109201</c:v>
                </c:pt>
                <c:pt idx="171">
                  <c:v>1152918.17849532</c:v>
                </c:pt>
                <c:pt idx="172">
                  <c:v>1163441.6837608099</c:v>
                </c:pt>
                <c:pt idx="173">
                  <c:v>1154346.5933409601</c:v>
                </c:pt>
                <c:pt idx="174">
                  <c:v>1181937.81600066</c:v>
                </c:pt>
                <c:pt idx="175">
                  <c:v>1188468.10066002</c:v>
                </c:pt>
                <c:pt idx="176">
                  <c:v>1190490.30127265</c:v>
                </c:pt>
                <c:pt idx="177">
                  <c:v>1213735.7005652699</c:v>
                </c:pt>
                <c:pt idx="178">
                  <c:v>1218253.0695915699</c:v>
                </c:pt>
                <c:pt idx="179">
                  <c:v>1239462.45403366</c:v>
                </c:pt>
                <c:pt idx="180">
                  <c:v>1242787.94873058</c:v>
                </c:pt>
                <c:pt idx="181">
                  <c:v>1256103.5152932401</c:v>
                </c:pt>
                <c:pt idx="182">
                  <c:v>1254674.9872161399</c:v>
                </c:pt>
                <c:pt idx="183">
                  <c:v>1258107.03271525</c:v>
                </c:pt>
                <c:pt idx="184">
                  <c:v>1244054.10289657</c:v>
                </c:pt>
                <c:pt idx="185">
                  <c:v>1258844.5092027399</c:v>
                </c:pt>
                <c:pt idx="186">
                  <c:v>1254401.30678158</c:v>
                </c:pt>
                <c:pt idx="187">
                  <c:v>1256469.93229209</c:v>
                </c:pt>
                <c:pt idx="188">
                  <c:v>1247523.28831398</c:v>
                </c:pt>
                <c:pt idx="189">
                  <c:v>1245065.1465871499</c:v>
                </c:pt>
                <c:pt idx="190">
                  <c:v>1258120.96018462</c:v>
                </c:pt>
                <c:pt idx="191">
                  <c:v>1229105.96516906</c:v>
                </c:pt>
                <c:pt idx="192">
                  <c:v>1226796.26988398</c:v>
                </c:pt>
                <c:pt idx="193">
                  <c:v>1225409.4109835101</c:v>
                </c:pt>
                <c:pt idx="194">
                  <c:v>1200967.3816402601</c:v>
                </c:pt>
                <c:pt idx="195">
                  <c:v>1215154.9436627901</c:v>
                </c:pt>
                <c:pt idx="196">
                  <c:v>1222427.2340679599</c:v>
                </c:pt>
                <c:pt idx="197">
                  <c:v>1239708.27952949</c:v>
                </c:pt>
                <c:pt idx="198">
                  <c:v>1250268.9247132801</c:v>
                </c:pt>
                <c:pt idx="199">
                  <c:v>1254795.5787191601</c:v>
                </c:pt>
                <c:pt idx="200">
                  <c:v>1253956.0806878</c:v>
                </c:pt>
                <c:pt idx="201">
                  <c:v>1254099.88463976</c:v>
                </c:pt>
                <c:pt idx="202">
                  <c:v>1250528.67767847</c:v>
                </c:pt>
                <c:pt idx="203">
                  <c:v>1274024.5449566999</c:v>
                </c:pt>
                <c:pt idx="204">
                  <c:v>1271775.2020388599</c:v>
                </c:pt>
                <c:pt idx="205">
                  <c:v>1274520.83843815</c:v>
                </c:pt>
                <c:pt idx="206">
                  <c:v>1278899.04600228</c:v>
                </c:pt>
                <c:pt idx="207">
                  <c:v>1278393.58077272</c:v>
                </c:pt>
                <c:pt idx="208">
                  <c:v>1281909.07785656</c:v>
                </c:pt>
                <c:pt idx="209">
                  <c:v>1278801.6669482</c:v>
                </c:pt>
                <c:pt idx="210">
                  <c:v>1285642.65872896</c:v>
                </c:pt>
                <c:pt idx="211">
                  <c:v>1285642.65872896</c:v>
                </c:pt>
                <c:pt idx="212">
                  <c:v>1285825.4784831</c:v>
                </c:pt>
                <c:pt idx="213">
                  <c:v>1284803.3134331801</c:v>
                </c:pt>
                <c:pt idx="214">
                  <c:v>1297960.6118817199</c:v>
                </c:pt>
                <c:pt idx="215">
                  <c:v>1285023.6816402699</c:v>
                </c:pt>
                <c:pt idx="216">
                  <c:v>1299915.87888279</c:v>
                </c:pt>
                <c:pt idx="217">
                  <c:v>1308707.7117681699</c:v>
                </c:pt>
                <c:pt idx="218">
                  <c:v>1306588.28476245</c:v>
                </c:pt>
                <c:pt idx="219">
                  <c:v>1311488.24339517</c:v>
                </c:pt>
                <c:pt idx="220">
                  <c:v>1321588.3193302101</c:v>
                </c:pt>
                <c:pt idx="221">
                  <c:v>1312036.8171345801</c:v>
                </c:pt>
                <c:pt idx="222">
                  <c:v>1317551.05929937</c:v>
                </c:pt>
                <c:pt idx="223">
                  <c:v>1318502.935477</c:v>
                </c:pt>
                <c:pt idx="224">
                  <c:v>1323932.8080996401</c:v>
                </c:pt>
                <c:pt idx="225">
                  <c:v>1325030.0700554501</c:v>
                </c:pt>
                <c:pt idx="226">
                  <c:v>1327421.37991408</c:v>
                </c:pt>
                <c:pt idx="227">
                  <c:v>1311839.91671058</c:v>
                </c:pt>
                <c:pt idx="228">
                  <c:v>1315909.9171607599</c:v>
                </c:pt>
                <c:pt idx="229">
                  <c:v>1317532.3995498801</c:v>
                </c:pt>
                <c:pt idx="230">
                  <c:v>1320805.29671385</c:v>
                </c:pt>
                <c:pt idx="231">
                  <c:v>1324514.23673538</c:v>
                </c:pt>
                <c:pt idx="232">
                  <c:v>1319445.42454139</c:v>
                </c:pt>
                <c:pt idx="233">
                  <c:v>1292277.5161556599</c:v>
                </c:pt>
                <c:pt idx="234">
                  <c:v>1299306.28890734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F-4F0D-924A-9E05CF3D19D8}"/>
            </c:ext>
          </c:extLst>
        </c:ser>
        <c:ser>
          <c:idx val="2"/>
          <c:order val="2"/>
          <c:tx>
            <c:strRef>
              <c:f>'Injected portfolio'!$N$1</c:f>
              <c:strCache>
                <c:ptCount val="1"/>
                <c:pt idx="0">
                  <c:v>difference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portfolio'!$K$2:$K$1657</c:f>
              <c:numCache>
                <c:formatCode>m/d/yyyy</c:formatCode>
                <c:ptCount val="165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  <c:pt idx="86">
                  <c:v>45385</c:v>
                </c:pt>
                <c:pt idx="87">
                  <c:v>45386</c:v>
                </c:pt>
                <c:pt idx="88">
                  <c:v>45387</c:v>
                </c:pt>
                <c:pt idx="89">
                  <c:v>45390</c:v>
                </c:pt>
                <c:pt idx="90">
                  <c:v>45391</c:v>
                </c:pt>
                <c:pt idx="91">
                  <c:v>45392</c:v>
                </c:pt>
                <c:pt idx="92">
                  <c:v>45393</c:v>
                </c:pt>
                <c:pt idx="93">
                  <c:v>45394</c:v>
                </c:pt>
                <c:pt idx="94">
                  <c:v>45397</c:v>
                </c:pt>
                <c:pt idx="95">
                  <c:v>45398</c:v>
                </c:pt>
                <c:pt idx="96">
                  <c:v>45399</c:v>
                </c:pt>
                <c:pt idx="97">
                  <c:v>45400</c:v>
                </c:pt>
                <c:pt idx="98">
                  <c:v>45401</c:v>
                </c:pt>
                <c:pt idx="99">
                  <c:v>45404</c:v>
                </c:pt>
                <c:pt idx="100">
                  <c:v>45405</c:v>
                </c:pt>
                <c:pt idx="101">
                  <c:v>45406</c:v>
                </c:pt>
                <c:pt idx="102">
                  <c:v>45407</c:v>
                </c:pt>
                <c:pt idx="103">
                  <c:v>45408</c:v>
                </c:pt>
                <c:pt idx="104">
                  <c:v>45411</c:v>
                </c:pt>
                <c:pt idx="105">
                  <c:v>45412</c:v>
                </c:pt>
                <c:pt idx="106">
                  <c:v>45413</c:v>
                </c:pt>
                <c:pt idx="107">
                  <c:v>45414</c:v>
                </c:pt>
                <c:pt idx="108">
                  <c:v>45415</c:v>
                </c:pt>
                <c:pt idx="109">
                  <c:v>45418</c:v>
                </c:pt>
                <c:pt idx="110">
                  <c:v>45419</c:v>
                </c:pt>
                <c:pt idx="111">
                  <c:v>45420</c:v>
                </c:pt>
                <c:pt idx="112">
                  <c:v>45421</c:v>
                </c:pt>
                <c:pt idx="113">
                  <c:v>45422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45432</c:v>
                </c:pt>
                <c:pt idx="120">
                  <c:v>45433</c:v>
                </c:pt>
                <c:pt idx="121">
                  <c:v>45434</c:v>
                </c:pt>
                <c:pt idx="122">
                  <c:v>45435</c:v>
                </c:pt>
                <c:pt idx="123">
                  <c:v>45436</c:v>
                </c:pt>
                <c:pt idx="124">
                  <c:v>45440</c:v>
                </c:pt>
                <c:pt idx="125">
                  <c:v>45441</c:v>
                </c:pt>
                <c:pt idx="126">
                  <c:v>45442</c:v>
                </c:pt>
                <c:pt idx="127">
                  <c:v>45443</c:v>
                </c:pt>
                <c:pt idx="128">
                  <c:v>45446</c:v>
                </c:pt>
                <c:pt idx="129">
                  <c:v>45447</c:v>
                </c:pt>
                <c:pt idx="130">
                  <c:v>45448</c:v>
                </c:pt>
                <c:pt idx="131">
                  <c:v>45449</c:v>
                </c:pt>
                <c:pt idx="132">
                  <c:v>45450</c:v>
                </c:pt>
                <c:pt idx="133">
                  <c:v>45453</c:v>
                </c:pt>
                <c:pt idx="134">
                  <c:v>45454</c:v>
                </c:pt>
                <c:pt idx="135">
                  <c:v>45455</c:v>
                </c:pt>
                <c:pt idx="136">
                  <c:v>45456</c:v>
                </c:pt>
                <c:pt idx="137">
                  <c:v>45457</c:v>
                </c:pt>
                <c:pt idx="138">
                  <c:v>45460</c:v>
                </c:pt>
                <c:pt idx="139">
                  <c:v>45461</c:v>
                </c:pt>
                <c:pt idx="140">
                  <c:v>45463</c:v>
                </c:pt>
                <c:pt idx="141">
                  <c:v>45464</c:v>
                </c:pt>
                <c:pt idx="142">
                  <c:v>45467</c:v>
                </c:pt>
                <c:pt idx="143">
                  <c:v>45468</c:v>
                </c:pt>
                <c:pt idx="144">
                  <c:v>45469</c:v>
                </c:pt>
                <c:pt idx="145">
                  <c:v>45470</c:v>
                </c:pt>
                <c:pt idx="146">
                  <c:v>45471</c:v>
                </c:pt>
                <c:pt idx="147">
                  <c:v>45474</c:v>
                </c:pt>
                <c:pt idx="148">
                  <c:v>45475</c:v>
                </c:pt>
                <c:pt idx="149">
                  <c:v>45476</c:v>
                </c:pt>
                <c:pt idx="150">
                  <c:v>45478</c:v>
                </c:pt>
                <c:pt idx="151">
                  <c:v>45481</c:v>
                </c:pt>
                <c:pt idx="152">
                  <c:v>45482</c:v>
                </c:pt>
                <c:pt idx="153">
                  <c:v>45483</c:v>
                </c:pt>
                <c:pt idx="154">
                  <c:v>45484</c:v>
                </c:pt>
                <c:pt idx="155">
                  <c:v>45485</c:v>
                </c:pt>
                <c:pt idx="156">
                  <c:v>45488</c:v>
                </c:pt>
                <c:pt idx="157">
                  <c:v>45489</c:v>
                </c:pt>
                <c:pt idx="158">
                  <c:v>45490</c:v>
                </c:pt>
                <c:pt idx="159">
                  <c:v>45491</c:v>
                </c:pt>
                <c:pt idx="160">
                  <c:v>45492</c:v>
                </c:pt>
                <c:pt idx="161">
                  <c:v>45495</c:v>
                </c:pt>
                <c:pt idx="162">
                  <c:v>45496</c:v>
                </c:pt>
                <c:pt idx="163">
                  <c:v>45497</c:v>
                </c:pt>
                <c:pt idx="164">
                  <c:v>45498</c:v>
                </c:pt>
                <c:pt idx="165">
                  <c:v>45499</c:v>
                </c:pt>
                <c:pt idx="166">
                  <c:v>45502</c:v>
                </c:pt>
                <c:pt idx="167">
                  <c:v>45503</c:v>
                </c:pt>
                <c:pt idx="168">
                  <c:v>45504</c:v>
                </c:pt>
                <c:pt idx="169">
                  <c:v>45505</c:v>
                </c:pt>
                <c:pt idx="170">
                  <c:v>45506</c:v>
                </c:pt>
                <c:pt idx="171">
                  <c:v>45509</c:v>
                </c:pt>
                <c:pt idx="172">
                  <c:v>45510</c:v>
                </c:pt>
                <c:pt idx="173">
                  <c:v>45511</c:v>
                </c:pt>
                <c:pt idx="174">
                  <c:v>45512</c:v>
                </c:pt>
                <c:pt idx="175">
                  <c:v>45513</c:v>
                </c:pt>
                <c:pt idx="176">
                  <c:v>45516</c:v>
                </c:pt>
                <c:pt idx="177">
                  <c:v>45517</c:v>
                </c:pt>
                <c:pt idx="178">
                  <c:v>45518</c:v>
                </c:pt>
                <c:pt idx="179">
                  <c:v>45519</c:v>
                </c:pt>
                <c:pt idx="180">
                  <c:v>45520</c:v>
                </c:pt>
                <c:pt idx="181">
                  <c:v>45523</c:v>
                </c:pt>
                <c:pt idx="182">
                  <c:v>45524</c:v>
                </c:pt>
                <c:pt idx="183">
                  <c:v>45525</c:v>
                </c:pt>
                <c:pt idx="184">
                  <c:v>45526</c:v>
                </c:pt>
                <c:pt idx="185">
                  <c:v>45527</c:v>
                </c:pt>
                <c:pt idx="186">
                  <c:v>45530</c:v>
                </c:pt>
                <c:pt idx="187">
                  <c:v>45531</c:v>
                </c:pt>
                <c:pt idx="188">
                  <c:v>45532</c:v>
                </c:pt>
                <c:pt idx="189">
                  <c:v>45533</c:v>
                </c:pt>
                <c:pt idx="190">
                  <c:v>45534</c:v>
                </c:pt>
                <c:pt idx="191">
                  <c:v>45538</c:v>
                </c:pt>
                <c:pt idx="192">
                  <c:v>45539</c:v>
                </c:pt>
                <c:pt idx="193">
                  <c:v>45540</c:v>
                </c:pt>
                <c:pt idx="194">
                  <c:v>45541</c:v>
                </c:pt>
                <c:pt idx="195">
                  <c:v>45544</c:v>
                </c:pt>
                <c:pt idx="196">
                  <c:v>45545</c:v>
                </c:pt>
                <c:pt idx="197">
                  <c:v>45546</c:v>
                </c:pt>
                <c:pt idx="198">
                  <c:v>45547</c:v>
                </c:pt>
                <c:pt idx="199">
                  <c:v>45548</c:v>
                </c:pt>
                <c:pt idx="200">
                  <c:v>45551</c:v>
                </c:pt>
                <c:pt idx="201">
                  <c:v>45552</c:v>
                </c:pt>
                <c:pt idx="202">
                  <c:v>45553</c:v>
                </c:pt>
                <c:pt idx="203">
                  <c:v>45554</c:v>
                </c:pt>
                <c:pt idx="204">
                  <c:v>45555</c:v>
                </c:pt>
                <c:pt idx="205">
                  <c:v>45558</c:v>
                </c:pt>
                <c:pt idx="206">
                  <c:v>45559</c:v>
                </c:pt>
                <c:pt idx="207">
                  <c:v>45560</c:v>
                </c:pt>
                <c:pt idx="208">
                  <c:v>45561</c:v>
                </c:pt>
                <c:pt idx="209">
                  <c:v>45562</c:v>
                </c:pt>
                <c:pt idx="210">
                  <c:v>45565</c:v>
                </c:pt>
                <c:pt idx="211">
                  <c:v>45566</c:v>
                </c:pt>
                <c:pt idx="212">
                  <c:v>45567</c:v>
                </c:pt>
                <c:pt idx="213">
                  <c:v>45568</c:v>
                </c:pt>
                <c:pt idx="214">
                  <c:v>45569</c:v>
                </c:pt>
                <c:pt idx="215">
                  <c:v>45572</c:v>
                </c:pt>
                <c:pt idx="216">
                  <c:v>45573</c:v>
                </c:pt>
                <c:pt idx="217">
                  <c:v>45574</c:v>
                </c:pt>
                <c:pt idx="218">
                  <c:v>45575</c:v>
                </c:pt>
                <c:pt idx="219">
                  <c:v>45576</c:v>
                </c:pt>
                <c:pt idx="220">
                  <c:v>45579</c:v>
                </c:pt>
                <c:pt idx="221">
                  <c:v>45580</c:v>
                </c:pt>
                <c:pt idx="222">
                  <c:v>45581</c:v>
                </c:pt>
                <c:pt idx="223">
                  <c:v>45582</c:v>
                </c:pt>
                <c:pt idx="224">
                  <c:v>45583</c:v>
                </c:pt>
                <c:pt idx="225">
                  <c:v>45586</c:v>
                </c:pt>
                <c:pt idx="226">
                  <c:v>45587</c:v>
                </c:pt>
                <c:pt idx="227">
                  <c:v>45588</c:v>
                </c:pt>
                <c:pt idx="228">
                  <c:v>45589</c:v>
                </c:pt>
                <c:pt idx="229">
                  <c:v>45590</c:v>
                </c:pt>
                <c:pt idx="230">
                  <c:v>45593</c:v>
                </c:pt>
                <c:pt idx="231">
                  <c:v>45594</c:v>
                </c:pt>
                <c:pt idx="232">
                  <c:v>45595</c:v>
                </c:pt>
                <c:pt idx="233">
                  <c:v>45596</c:v>
                </c:pt>
                <c:pt idx="234">
                  <c:v>45597</c:v>
                </c:pt>
              </c:numCache>
            </c:numRef>
          </c:cat>
          <c:val>
            <c:numRef>
              <c:f>'Injected portfolio'!$N$2:$N$1657</c:f>
              <c:numCache>
                <c:formatCode>General</c:formatCode>
                <c:ptCount val="1656"/>
                <c:pt idx="0">
                  <c:v>-1.0477378964424133E-9</c:v>
                </c:pt>
                <c:pt idx="1">
                  <c:v>3110.134474268998</c:v>
                </c:pt>
                <c:pt idx="2">
                  <c:v>10981.181943122065</c:v>
                </c:pt>
                <c:pt idx="3">
                  <c:v>14215.987201699987</c:v>
                </c:pt>
                <c:pt idx="4">
                  <c:v>28909.855973321013</c:v>
                </c:pt>
                <c:pt idx="5">
                  <c:v>30305.085070961039</c:v>
                </c:pt>
                <c:pt idx="6">
                  <c:v>35857.418677991955</c:v>
                </c:pt>
                <c:pt idx="7">
                  <c:v>21785.975467539974</c:v>
                </c:pt>
                <c:pt idx="8">
                  <c:v>22856.20853196003</c:v>
                </c:pt>
                <c:pt idx="9">
                  <c:v>27822.981020090054</c:v>
                </c:pt>
                <c:pt idx="10">
                  <c:v>27747.168639070005</c:v>
                </c:pt>
                <c:pt idx="11">
                  <c:v>33081.627338210121</c:v>
                </c:pt>
                <c:pt idx="12">
                  <c:v>15358.94810788997</c:v>
                </c:pt>
                <c:pt idx="13">
                  <c:v>16255.66495542007</c:v>
                </c:pt>
                <c:pt idx="14">
                  <c:v>20011.578820919967</c:v>
                </c:pt>
                <c:pt idx="15">
                  <c:v>13608.352419489995</c:v>
                </c:pt>
                <c:pt idx="16">
                  <c:v>11229.246020990075</c:v>
                </c:pt>
                <c:pt idx="17">
                  <c:v>8981.2926105400547</c:v>
                </c:pt>
                <c:pt idx="18">
                  <c:v>16263.626744600013</c:v>
                </c:pt>
                <c:pt idx="19">
                  <c:v>16698.730835429975</c:v>
                </c:pt>
                <c:pt idx="20">
                  <c:v>23065.751887099934</c:v>
                </c:pt>
                <c:pt idx="21">
                  <c:v>25194.463390539982</c:v>
                </c:pt>
                <c:pt idx="22">
                  <c:v>28801.123418719973</c:v>
                </c:pt>
                <c:pt idx="23">
                  <c:v>44918.596812519943</c:v>
                </c:pt>
                <c:pt idx="24">
                  <c:v>56040.731281740125</c:v>
                </c:pt>
                <c:pt idx="25">
                  <c:v>66569.757379299961</c:v>
                </c:pt>
                <c:pt idx="26">
                  <c:v>62968.224196719937</c:v>
                </c:pt>
                <c:pt idx="27">
                  <c:v>55120.019081619917</c:v>
                </c:pt>
                <c:pt idx="28">
                  <c:v>51903.855297110043</c:v>
                </c:pt>
                <c:pt idx="29">
                  <c:v>46683.899916250026</c:v>
                </c:pt>
                <c:pt idx="30">
                  <c:v>47754.510514789959</c:v>
                </c:pt>
                <c:pt idx="31">
                  <c:v>61902.291155400104</c:v>
                </c:pt>
                <c:pt idx="32">
                  <c:v>58196.633350779884</c:v>
                </c:pt>
                <c:pt idx="33">
                  <c:v>61852.640928499866</c:v>
                </c:pt>
                <c:pt idx="34">
                  <c:v>53383.23855879996</c:v>
                </c:pt>
                <c:pt idx="35">
                  <c:v>48350.189162169816</c:v>
                </c:pt>
                <c:pt idx="36">
                  <c:v>51701.751952630002</c:v>
                </c:pt>
                <c:pt idx="37">
                  <c:v>48432.281518690055</c:v>
                </c:pt>
                <c:pt idx="38">
                  <c:v>50719.786598910112</c:v>
                </c:pt>
                <c:pt idx="39">
                  <c:v>69641.199681550032</c:v>
                </c:pt>
                <c:pt idx="40">
                  <c:v>73822.441265130183</c:v>
                </c:pt>
                <c:pt idx="41">
                  <c:v>70794.170522139873</c:v>
                </c:pt>
                <c:pt idx="42">
                  <c:v>79871.521834539948</c:v>
                </c:pt>
                <c:pt idx="43">
                  <c:v>88157.86506665987</c:v>
                </c:pt>
                <c:pt idx="44">
                  <c:v>97943.725055760005</c:v>
                </c:pt>
                <c:pt idx="45">
                  <c:v>85340.187746610027</c:v>
                </c:pt>
                <c:pt idx="46">
                  <c:v>95657.855948009994</c:v>
                </c:pt>
                <c:pt idx="47">
                  <c:v>92407.616208730033</c:v>
                </c:pt>
                <c:pt idx="48">
                  <c:v>81739.178279649932</c:v>
                </c:pt>
                <c:pt idx="49">
                  <c:v>87107.493241850054</c:v>
                </c:pt>
                <c:pt idx="50">
                  <c:v>79489.121658449993</c:v>
                </c:pt>
                <c:pt idx="51">
                  <c:v>82040.618857050082</c:v>
                </c:pt>
                <c:pt idx="52">
                  <c:v>89230.949395250063</c:v>
                </c:pt>
                <c:pt idx="53">
                  <c:v>88842.871663359925</c:v>
                </c:pt>
                <c:pt idx="54">
                  <c:v>93619.075092100073</c:v>
                </c:pt>
                <c:pt idx="55">
                  <c:v>106951.28273936012</c:v>
                </c:pt>
                <c:pt idx="56">
                  <c:v>102521.46069683996</c:v>
                </c:pt>
                <c:pt idx="57">
                  <c:v>95534.937420350034</c:v>
                </c:pt>
                <c:pt idx="58">
                  <c:v>89219.875744860154</c:v>
                </c:pt>
                <c:pt idx="59">
                  <c:v>96232.876322970027</c:v>
                </c:pt>
                <c:pt idx="60">
                  <c:v>95849.224503419828</c:v>
                </c:pt>
                <c:pt idx="61">
                  <c:v>88565.011337300064</c:v>
                </c:pt>
                <c:pt idx="62">
                  <c:v>90127.941900920123</c:v>
                </c:pt>
                <c:pt idx="63">
                  <c:v>75772.296921920031</c:v>
                </c:pt>
                <c:pt idx="64">
                  <c:v>82598.249430680182</c:v>
                </c:pt>
                <c:pt idx="65">
                  <c:v>91590.279760570033</c:v>
                </c:pt>
                <c:pt idx="66">
                  <c:v>95508.921618690016</c:v>
                </c:pt>
                <c:pt idx="67">
                  <c:v>101852.25111596007</c:v>
                </c:pt>
                <c:pt idx="68">
                  <c:v>90882.380242899992</c:v>
                </c:pt>
                <c:pt idx="69">
                  <c:v>78834.587655530078</c:v>
                </c:pt>
                <c:pt idx="70">
                  <c:v>68078.803981229896</c:v>
                </c:pt>
                <c:pt idx="71">
                  <c:v>70370.936094280099</c:v>
                </c:pt>
                <c:pt idx="72">
                  <c:v>72186.456057189964</c:v>
                </c:pt>
                <c:pt idx="73">
                  <c:v>65787.835146869998</c:v>
                </c:pt>
                <c:pt idx="74">
                  <c:v>70641.19643933</c:v>
                </c:pt>
                <c:pt idx="75">
                  <c:v>68122.773746429943</c:v>
                </c:pt>
                <c:pt idx="76">
                  <c:v>69954.38220255007</c:v>
                </c:pt>
                <c:pt idx="77">
                  <c:v>68806.319650249789</c:v>
                </c:pt>
                <c:pt idx="78">
                  <c:v>65501.569589470048</c:v>
                </c:pt>
                <c:pt idx="79">
                  <c:v>60813.911503829993</c:v>
                </c:pt>
                <c:pt idx="80">
                  <c:v>63744.663655490149</c:v>
                </c:pt>
                <c:pt idx="81">
                  <c:v>68700.156175479991</c:v>
                </c:pt>
                <c:pt idx="82">
                  <c:v>80852.191902579973</c:v>
                </c:pt>
                <c:pt idx="83">
                  <c:v>82215.255796420155</c:v>
                </c:pt>
                <c:pt idx="84">
                  <c:v>79940.162171150092</c:v>
                </c:pt>
                <c:pt idx="85">
                  <c:v>82522.196446590126</c:v>
                </c:pt>
                <c:pt idx="86">
                  <c:v>81458.913574930048</c:v>
                </c:pt>
                <c:pt idx="87">
                  <c:v>86153.362984000007</c:v>
                </c:pt>
                <c:pt idx="88">
                  <c:v>83045.503299199976</c:v>
                </c:pt>
                <c:pt idx="89">
                  <c:v>78763.253506070003</c:v>
                </c:pt>
                <c:pt idx="90">
                  <c:v>72689.677377939923</c:v>
                </c:pt>
                <c:pt idx="91">
                  <c:v>75879.367309079971</c:v>
                </c:pt>
                <c:pt idx="92">
                  <c:v>63265.171306659933</c:v>
                </c:pt>
                <c:pt idx="93">
                  <c:v>71979.852842330001</c:v>
                </c:pt>
                <c:pt idx="94">
                  <c:v>80852.770247030072</c:v>
                </c:pt>
                <c:pt idx="95">
                  <c:v>81959.932957750047</c:v>
                </c:pt>
                <c:pt idx="96">
                  <c:v>91042.544127419824</c:v>
                </c:pt>
                <c:pt idx="97">
                  <c:v>89866.189206599956</c:v>
                </c:pt>
                <c:pt idx="98">
                  <c:v>103337.02241405006</c:v>
                </c:pt>
                <c:pt idx="99">
                  <c:v>103870.0343496101</c:v>
                </c:pt>
                <c:pt idx="100">
                  <c:v>98540.494048249908</c:v>
                </c:pt>
                <c:pt idx="101">
                  <c:v>95671.107223900035</c:v>
                </c:pt>
                <c:pt idx="102">
                  <c:v>91682.235077089863</c:v>
                </c:pt>
                <c:pt idx="103">
                  <c:v>82900.531580690062</c:v>
                </c:pt>
                <c:pt idx="104">
                  <c:v>80545.198317009956</c:v>
                </c:pt>
                <c:pt idx="105">
                  <c:v>109743.46702665999</c:v>
                </c:pt>
                <c:pt idx="106">
                  <c:v>107086.1631393102</c:v>
                </c:pt>
                <c:pt idx="107">
                  <c:v>94855.75821441994</c:v>
                </c:pt>
                <c:pt idx="108">
                  <c:v>75246.928390079876</c:v>
                </c:pt>
                <c:pt idx="109">
                  <c:v>80304.072903099936</c:v>
                </c:pt>
                <c:pt idx="110">
                  <c:v>95604.675521360012</c:v>
                </c:pt>
                <c:pt idx="111">
                  <c:v>89867.132098309929</c:v>
                </c:pt>
                <c:pt idx="112">
                  <c:v>93564.588134459918</c:v>
                </c:pt>
                <c:pt idx="113">
                  <c:v>97268.056979430141</c:v>
                </c:pt>
                <c:pt idx="114">
                  <c:v>87968.74235712993</c:v>
                </c:pt>
                <c:pt idx="115">
                  <c:v>82283.556159639964</c:v>
                </c:pt>
                <c:pt idx="116">
                  <c:v>80778.675259409938</c:v>
                </c:pt>
                <c:pt idx="117">
                  <c:v>83212.138339819852</c:v>
                </c:pt>
                <c:pt idx="118">
                  <c:v>86119.965729630087</c:v>
                </c:pt>
                <c:pt idx="119">
                  <c:v>86028.308711379999</c:v>
                </c:pt>
                <c:pt idx="120">
                  <c:v>88877.216948060086</c:v>
                </c:pt>
                <c:pt idx="121">
                  <c:v>93145.201932830038</c:v>
                </c:pt>
                <c:pt idx="122">
                  <c:v>88955.798374089878</c:v>
                </c:pt>
                <c:pt idx="123">
                  <c:v>83626.092630160041</c:v>
                </c:pt>
                <c:pt idx="124">
                  <c:v>67297.935045199934</c:v>
                </c:pt>
                <c:pt idx="125">
                  <c:v>65290.274481029948</c:v>
                </c:pt>
                <c:pt idx="126">
                  <c:v>78446.044447940076</c:v>
                </c:pt>
                <c:pt idx="127">
                  <c:v>82033.770181100117</c:v>
                </c:pt>
                <c:pt idx="128">
                  <c:v>80918.629074499942</c:v>
                </c:pt>
                <c:pt idx="129">
                  <c:v>84589.99305824982</c:v>
                </c:pt>
                <c:pt idx="130">
                  <c:v>72010.840172800003</c:v>
                </c:pt>
                <c:pt idx="131">
                  <c:v>76526.122258260148</c:v>
                </c:pt>
                <c:pt idx="132">
                  <c:v>79278.733562059933</c:v>
                </c:pt>
                <c:pt idx="133">
                  <c:v>76443.432151200017</c:v>
                </c:pt>
                <c:pt idx="134">
                  <c:v>69647.147553410148</c:v>
                </c:pt>
                <c:pt idx="135">
                  <c:v>52832.422547069844</c:v>
                </c:pt>
                <c:pt idx="136">
                  <c:v>49176.618075800128</c:v>
                </c:pt>
                <c:pt idx="137">
                  <c:v>47563.44175071991</c:v>
                </c:pt>
                <c:pt idx="138">
                  <c:v>45562.113461969886</c:v>
                </c:pt>
                <c:pt idx="139">
                  <c:v>51483.586425289977</c:v>
                </c:pt>
                <c:pt idx="140">
                  <c:v>57250.162409160053</c:v>
                </c:pt>
                <c:pt idx="141">
                  <c:v>58474.000786019955</c:v>
                </c:pt>
                <c:pt idx="142">
                  <c:v>77336.056472389959</c:v>
                </c:pt>
                <c:pt idx="143">
                  <c:v>66530.607623199932</c:v>
                </c:pt>
                <c:pt idx="144">
                  <c:v>56709.52236679988</c:v>
                </c:pt>
                <c:pt idx="145">
                  <c:v>48086.405855060089</c:v>
                </c:pt>
                <c:pt idx="146">
                  <c:v>39561.877851610072</c:v>
                </c:pt>
                <c:pt idx="147">
                  <c:v>31542.095604170114</c:v>
                </c:pt>
                <c:pt idx="148">
                  <c:v>28139.065411479911</c:v>
                </c:pt>
                <c:pt idx="149">
                  <c:v>16852.815818489995</c:v>
                </c:pt>
                <c:pt idx="150">
                  <c:v>20366.632320089964</c:v>
                </c:pt>
                <c:pt idx="151">
                  <c:v>18785.502128300024</c:v>
                </c:pt>
                <c:pt idx="152">
                  <c:v>18131.065211930079</c:v>
                </c:pt>
                <c:pt idx="153">
                  <c:v>11288.76302847988</c:v>
                </c:pt>
                <c:pt idx="154">
                  <c:v>25799.557665399974</c:v>
                </c:pt>
                <c:pt idx="155">
                  <c:v>25416.398201050004</c:v>
                </c:pt>
                <c:pt idx="156">
                  <c:v>23413.362652460113</c:v>
                </c:pt>
                <c:pt idx="157">
                  <c:v>28771.544201900018</c:v>
                </c:pt>
                <c:pt idx="158">
                  <c:v>57188.088219339959</c:v>
                </c:pt>
                <c:pt idx="159">
                  <c:v>55319.361996189924</c:v>
                </c:pt>
                <c:pt idx="160">
                  <c:v>60227.288828969933</c:v>
                </c:pt>
                <c:pt idx="161">
                  <c:v>52959.059008509852</c:v>
                </c:pt>
                <c:pt idx="162">
                  <c:v>50946.006941549946</c:v>
                </c:pt>
                <c:pt idx="163">
                  <c:v>72651.459091220051</c:v>
                </c:pt>
                <c:pt idx="164">
                  <c:v>77631.392882329877</c:v>
                </c:pt>
                <c:pt idx="165">
                  <c:v>76400.961012090091</c:v>
                </c:pt>
                <c:pt idx="166">
                  <c:v>80993.332087219926</c:v>
                </c:pt>
                <c:pt idx="167">
                  <c:v>73183.038114969851</c:v>
                </c:pt>
                <c:pt idx="168">
                  <c:v>49363.923793659778</c:v>
                </c:pt>
                <c:pt idx="169">
                  <c:v>73956.166082279989</c:v>
                </c:pt>
                <c:pt idx="170">
                  <c:v>102904.08626225987</c:v>
                </c:pt>
                <c:pt idx="171">
                  <c:v>108659.29570943001</c:v>
                </c:pt>
                <c:pt idx="172">
                  <c:v>115088.81306643016</c:v>
                </c:pt>
                <c:pt idx="173">
                  <c:v>124111.59932374</c:v>
                </c:pt>
                <c:pt idx="174">
                  <c:v>127990.88954220014</c:v>
                </c:pt>
                <c:pt idx="175">
                  <c:v>135098.35447241995</c:v>
                </c:pt>
                <c:pt idx="176">
                  <c:v>126010.78606747999</c:v>
                </c:pt>
                <c:pt idx="177">
                  <c:v>112510.43862639018</c:v>
                </c:pt>
                <c:pt idx="178">
                  <c:v>121973.5434542601</c:v>
                </c:pt>
                <c:pt idx="179">
                  <c:v>101496.81405925006</c:v>
                </c:pt>
                <c:pt idx="180">
                  <c:v>99605.911061599851</c:v>
                </c:pt>
                <c:pt idx="181">
                  <c:v>89213.451079489896</c:v>
                </c:pt>
                <c:pt idx="182">
                  <c:v>104009.64379620017</c:v>
                </c:pt>
                <c:pt idx="183">
                  <c:v>103767.44669998996</c:v>
                </c:pt>
                <c:pt idx="184">
                  <c:v>119672.05322325998</c:v>
                </c:pt>
                <c:pt idx="185">
                  <c:v>109179.32852648012</c:v>
                </c:pt>
                <c:pt idx="186">
                  <c:v>121795.72534705</c:v>
                </c:pt>
                <c:pt idx="187">
                  <c:v>129927.40784305986</c:v>
                </c:pt>
                <c:pt idx="188">
                  <c:v>134336.26566341007</c:v>
                </c:pt>
                <c:pt idx="189">
                  <c:v>138078.74829217</c:v>
                </c:pt>
                <c:pt idx="190">
                  <c:v>140436.46090527996</c:v>
                </c:pt>
                <c:pt idx="191">
                  <c:v>173303.30414091004</c:v>
                </c:pt>
                <c:pt idx="192">
                  <c:v>187302.87099142</c:v>
                </c:pt>
                <c:pt idx="193">
                  <c:v>177310.20096024987</c:v>
                </c:pt>
                <c:pt idx="194">
                  <c:v>191545.68753804988</c:v>
                </c:pt>
                <c:pt idx="195">
                  <c:v>187231.49197783996</c:v>
                </c:pt>
                <c:pt idx="196">
                  <c:v>175399.51889456995</c:v>
                </c:pt>
                <c:pt idx="197">
                  <c:v>152738.07355689001</c:v>
                </c:pt>
                <c:pt idx="198">
                  <c:v>146251.38247877988</c:v>
                </c:pt>
                <c:pt idx="199">
                  <c:v>143636.21019652998</c:v>
                </c:pt>
                <c:pt idx="200">
                  <c:v>144214.74471652997</c:v>
                </c:pt>
                <c:pt idx="201">
                  <c:v>127985.28018372995</c:v>
                </c:pt>
                <c:pt idx="202">
                  <c:v>125472.26320856996</c:v>
                </c:pt>
                <c:pt idx="203">
                  <c:v>99287.227255500155</c:v>
                </c:pt>
                <c:pt idx="204">
                  <c:v>111577.88417131011</c:v>
                </c:pt>
                <c:pt idx="205">
                  <c:v>118660.84819624992</c:v>
                </c:pt>
                <c:pt idx="206">
                  <c:v>109064.38598699006</c:v>
                </c:pt>
                <c:pt idx="207">
                  <c:v>110534.58764474001</c:v>
                </c:pt>
                <c:pt idx="208">
                  <c:v>98683.072430579923</c:v>
                </c:pt>
                <c:pt idx="209">
                  <c:v>98131.25868482003</c:v>
                </c:pt>
                <c:pt idx="210">
                  <c:v>92649.30369252013</c:v>
                </c:pt>
                <c:pt idx="211">
                  <c:v>92649.30369252013</c:v>
                </c:pt>
                <c:pt idx="212">
                  <c:v>92598.829487970099</c:v>
                </c:pt>
                <c:pt idx="213">
                  <c:v>80523.51370800985</c:v>
                </c:pt>
                <c:pt idx="214">
                  <c:v>60905.917799680028</c:v>
                </c:pt>
                <c:pt idx="215">
                  <c:v>55231.416579700075</c:v>
                </c:pt>
                <c:pt idx="216">
                  <c:v>54162.228061930044</c:v>
                </c:pt>
                <c:pt idx="217">
                  <c:v>54222.169662580127</c:v>
                </c:pt>
                <c:pt idx="218">
                  <c:v>47954.168806399917</c:v>
                </c:pt>
                <c:pt idx="219">
                  <c:v>52624.535483130021</c:v>
                </c:pt>
                <c:pt idx="220">
                  <c:v>51463.524730039993</c:v>
                </c:pt>
                <c:pt idx="221">
                  <c:v>69384.615608649794</c:v>
                </c:pt>
                <c:pt idx="222">
                  <c:v>70916.644686029991</c:v>
                </c:pt>
                <c:pt idx="223">
                  <c:v>68406.28476963006</c:v>
                </c:pt>
                <c:pt idx="224">
                  <c:v>68686.12935812003</c:v>
                </c:pt>
                <c:pt idx="225">
                  <c:v>55538.96212387993</c:v>
                </c:pt>
                <c:pt idx="226">
                  <c:v>56920.960288269911</c:v>
                </c:pt>
                <c:pt idx="227">
                  <c:v>71084.856389590073</c:v>
                </c:pt>
                <c:pt idx="228">
                  <c:v>59140.222155560041</c:v>
                </c:pt>
                <c:pt idx="229">
                  <c:v>37304.10633123992</c:v>
                </c:pt>
                <c:pt idx="230">
                  <c:v>33963.551206399919</c:v>
                </c:pt>
                <c:pt idx="231">
                  <c:v>12288.173530400032</c:v>
                </c:pt>
                <c:pt idx="232">
                  <c:v>7333.4696305000689</c:v>
                </c:pt>
                <c:pt idx="233">
                  <c:v>33354.045406340156</c:v>
                </c:pt>
                <c:pt idx="234">
                  <c:v>12677.089846619871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EF-4F0D-924A-9E05CF3D1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475376"/>
        <c:axId val="1233476624"/>
      </c:lineChart>
      <c:dateAx>
        <c:axId val="123347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76624"/>
        <c:crosses val="autoZero"/>
        <c:auto val="1"/>
        <c:lblOffset val="100"/>
        <c:baseTimeUnit val="days"/>
      </c:dateAx>
      <c:valAx>
        <c:axId val="1233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7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Type</a:t>
            </a:r>
            <a:r>
              <a:rPr lang="en-US" altLang="zh-CN" baseline="0"/>
              <a:t> E preselection with K-means=7 in S&amp;P100 from Swan 5-10D -&gt; Present with MVO2.0 With Estimated Swan beta using MA30 without monthly update</a:t>
            </a:r>
          </a:p>
          <a:p>
            <a:pPr>
              <a:defRPr/>
            </a:pPr>
            <a:r>
              <a:rPr lang="en-US" altLang="zh-CN" baseline="0"/>
              <a:t>(modified K-means with Davies-Bouldin index)</a:t>
            </a:r>
            <a:endParaRPr lang="zh-CN" altLang="en-US"/>
          </a:p>
        </c:rich>
      </c:tx>
      <c:layout>
        <c:manualLayout>
          <c:xMode val="edge"/>
          <c:yMode val="edge"/>
          <c:x val="0.11630615640599003"/>
          <c:y val="1.6648168701442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'Injected portfolio'!$AC$1</c:f>
              <c:strCache>
                <c:ptCount val="1"/>
                <c:pt idx="0">
                  <c:v>portfolio_value (without update)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portfolio'!$AB$2:$AB$87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portfolio'!$AC$2:$AC$87</c:f>
              <c:numCache>
                <c:formatCode>General</c:formatCode>
                <c:ptCount val="86"/>
                <c:pt idx="0">
                  <c:v>999999.99999999895</c:v>
                </c:pt>
                <c:pt idx="1">
                  <c:v>1000600.92535977</c:v>
                </c:pt>
                <c:pt idx="2">
                  <c:v>1010294.65961184</c:v>
                </c:pt>
                <c:pt idx="3">
                  <c:v>1015913.4399921</c:v>
                </c:pt>
                <c:pt idx="4">
                  <c:v>1023325.73337898</c:v>
                </c:pt>
                <c:pt idx="5">
                  <c:v>1027902.53999012</c:v>
                </c:pt>
                <c:pt idx="6">
                  <c:v>1028316.09032805</c:v>
                </c:pt>
                <c:pt idx="7">
                  <c:v>1024095.67075262</c:v>
                </c:pt>
                <c:pt idx="8">
                  <c:v>1029891.95842088</c:v>
                </c:pt>
                <c:pt idx="9">
                  <c:v>1034770.6368345</c:v>
                </c:pt>
                <c:pt idx="10">
                  <c:v>1039972.76918475</c:v>
                </c:pt>
                <c:pt idx="11">
                  <c:v>1056466.1880930001</c:v>
                </c:pt>
                <c:pt idx="12">
                  <c:v>1038924.33950148</c:v>
                </c:pt>
                <c:pt idx="13">
                  <c:v>1042914.65301946</c:v>
                </c:pt>
                <c:pt idx="14">
                  <c:v>1052964.19779661</c:v>
                </c:pt>
                <c:pt idx="15">
                  <c:v>1051968.9058405</c:v>
                </c:pt>
                <c:pt idx="16">
                  <c:v>1035323.42832454</c:v>
                </c:pt>
                <c:pt idx="17">
                  <c:v>1042833.76198482</c:v>
                </c:pt>
                <c:pt idx="18">
                  <c:v>1050751.43783104</c:v>
                </c:pt>
                <c:pt idx="19">
                  <c:v>1054841.31369934</c:v>
                </c:pt>
                <c:pt idx="20">
                  <c:v>1062757.3410996699</c:v>
                </c:pt>
                <c:pt idx="21">
                  <c:v>1065229.25715302</c:v>
                </c:pt>
                <c:pt idx="22">
                  <c:v>1065937.19185037</c:v>
                </c:pt>
                <c:pt idx="23">
                  <c:v>1075222.95844299</c:v>
                </c:pt>
                <c:pt idx="24">
                  <c:v>1080575.4971892801</c:v>
                </c:pt>
                <c:pt idx="25">
                  <c:v>1086744.8856818599</c:v>
                </c:pt>
                <c:pt idx="26">
                  <c:v>1085434.47782522</c:v>
                </c:pt>
                <c:pt idx="27">
                  <c:v>1093359.9809996099</c:v>
                </c:pt>
                <c:pt idx="28">
                  <c:v>1097323.52202018</c:v>
                </c:pt>
                <c:pt idx="29">
                  <c:v>1099180.9685289101</c:v>
                </c:pt>
                <c:pt idx="30">
                  <c:v>1101655.9012549301</c:v>
                </c:pt>
                <c:pt idx="31">
                  <c:v>1115336.51370376</c:v>
                </c:pt>
                <c:pt idx="32">
                  <c:v>1110364.6617523101</c:v>
                </c:pt>
                <c:pt idx="33">
                  <c:v>1108836.17863658</c:v>
                </c:pt>
                <c:pt idx="34">
                  <c:v>1110358.60444984</c:v>
                </c:pt>
                <c:pt idx="35">
                  <c:v>1120229.9987151001</c:v>
                </c:pt>
                <c:pt idx="36">
                  <c:v>1109359.58929974</c:v>
                </c:pt>
                <c:pt idx="37">
                  <c:v>1112294.08866482</c:v>
                </c:pt>
                <c:pt idx="38">
                  <c:v>1117324.66059659</c:v>
                </c:pt>
                <c:pt idx="39">
                  <c:v>1137956.77978833</c:v>
                </c:pt>
                <c:pt idx="40">
                  <c:v>1140403.37447919</c:v>
                </c:pt>
                <c:pt idx="41">
                  <c:v>1144395.9821836699</c:v>
                </c:pt>
                <c:pt idx="42">
                  <c:v>1149838.66397965</c:v>
                </c:pt>
                <c:pt idx="43">
                  <c:v>1138543.52466193</c:v>
                </c:pt>
                <c:pt idx="44">
                  <c:v>1161232.7268819599</c:v>
                </c:pt>
                <c:pt idx="45">
                  <c:v>1161260.2196975499</c:v>
                </c:pt>
                <c:pt idx="46">
                  <c:v>1167938.34676015</c:v>
                </c:pt>
                <c:pt idx="47">
                  <c:v>1171307.7398747499</c:v>
                </c:pt>
                <c:pt idx="48">
                  <c:v>1176113.63938036</c:v>
                </c:pt>
                <c:pt idx="49">
                  <c:v>1180542.8904398</c:v>
                </c:pt>
                <c:pt idx="50">
                  <c:v>1180500.5681354399</c:v>
                </c:pt>
                <c:pt idx="51">
                  <c:v>1180182.3399825799</c:v>
                </c:pt>
                <c:pt idx="52">
                  <c:v>1172637.93501884</c:v>
                </c:pt>
                <c:pt idx="53">
                  <c:v>1179612.85943975</c:v>
                </c:pt>
                <c:pt idx="54">
                  <c:v>1186502.08720242</c:v>
                </c:pt>
                <c:pt idx="55">
                  <c:v>1193652.81186016</c:v>
                </c:pt>
                <c:pt idx="56">
                  <c:v>1182947.6487302601</c:v>
                </c:pt>
                <c:pt idx="57">
                  <c:v>1180544.9213670599</c:v>
                </c:pt>
                <c:pt idx="58">
                  <c:v>1197563.2083765401</c:v>
                </c:pt>
                <c:pt idx="59">
                  <c:v>1202342.17417969</c:v>
                </c:pt>
                <c:pt idx="60">
                  <c:v>1200349.24009141</c:v>
                </c:pt>
                <c:pt idx="61">
                  <c:v>1199606.869957</c:v>
                </c:pt>
                <c:pt idx="62">
                  <c:v>1197371.3667647601</c:v>
                </c:pt>
                <c:pt idx="63">
                  <c:v>1191343.04206286</c:v>
                </c:pt>
                <c:pt idx="64">
                  <c:v>1203209.27358768</c:v>
                </c:pt>
                <c:pt idx="65">
                  <c:v>1209817.2089541799</c:v>
                </c:pt>
                <c:pt idx="66">
                  <c:v>1202342.9349605199</c:v>
                </c:pt>
                <c:pt idx="67">
                  <c:v>1213412.82244179</c:v>
                </c:pt>
                <c:pt idx="68">
                  <c:v>1218547.7606907501</c:v>
                </c:pt>
                <c:pt idx="69">
                  <c:v>1197069.2133798299</c:v>
                </c:pt>
                <c:pt idx="70">
                  <c:v>1181221.2810221501</c:v>
                </c:pt>
                <c:pt idx="71">
                  <c:v>1199959.1878514299</c:v>
                </c:pt>
                <c:pt idx="72">
                  <c:v>1199400.0590789099</c:v>
                </c:pt>
                <c:pt idx="73">
                  <c:v>1192404.08662462</c:v>
                </c:pt>
                <c:pt idx="74">
                  <c:v>1186659.25414928</c:v>
                </c:pt>
                <c:pt idx="75">
                  <c:v>1192577.55296752</c:v>
                </c:pt>
                <c:pt idx="76">
                  <c:v>1201159.6697591101</c:v>
                </c:pt>
                <c:pt idx="77">
                  <c:v>1209204.49627017</c:v>
                </c:pt>
                <c:pt idx="78">
                  <c:v>1204661.00571638</c:v>
                </c:pt>
                <c:pt idx="79">
                  <c:v>1201072.22566692</c:v>
                </c:pt>
                <c:pt idx="80">
                  <c:v>1198057.8402549101</c:v>
                </c:pt>
                <c:pt idx="81">
                  <c:v>1197141.15441838</c:v>
                </c:pt>
                <c:pt idx="82">
                  <c:v>1215004.0026068899</c:v>
                </c:pt>
                <c:pt idx="83">
                  <c:v>1216202.3476390401</c:v>
                </c:pt>
                <c:pt idx="84">
                  <c:v>1208919.3862269199</c:v>
                </c:pt>
                <c:pt idx="85">
                  <c:v>1202527.11867158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33-435E-80F4-626BC96FBF8C}"/>
            </c:ext>
          </c:extLst>
        </c:ser>
        <c:ser>
          <c:idx val="1"/>
          <c:order val="1"/>
          <c:tx>
            <c:strRef>
              <c:f>'Injected portfolio'!$AD$1</c:f>
              <c:strCache>
                <c:ptCount val="1"/>
                <c:pt idx="0">
                  <c:v>oex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portfolio'!$AB$2:$AB$87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portfolio'!$AD$2:$AD$87</c:f>
              <c:numCache>
                <c:formatCode>General</c:formatCode>
                <c:ptCount val="86"/>
                <c:pt idx="0">
                  <c:v>1000000</c:v>
                </c:pt>
                <c:pt idx="1">
                  <c:v>997490.79088550096</c:v>
                </c:pt>
                <c:pt idx="2">
                  <c:v>999313.47766871797</c:v>
                </c:pt>
                <c:pt idx="3">
                  <c:v>1001697.4527904</c:v>
                </c:pt>
                <c:pt idx="4">
                  <c:v>994415.87740565895</c:v>
                </c:pt>
                <c:pt idx="5">
                  <c:v>997597.45491915895</c:v>
                </c:pt>
                <c:pt idx="6">
                  <c:v>992458.67165005801</c:v>
                </c:pt>
                <c:pt idx="7">
                  <c:v>1002309.69528508</c:v>
                </c:pt>
                <c:pt idx="8">
                  <c:v>1007035.74988892</c:v>
                </c:pt>
                <c:pt idx="9">
                  <c:v>1006947.65581441</c:v>
                </c:pt>
                <c:pt idx="10">
                  <c:v>1012225.60054568</c:v>
                </c:pt>
                <c:pt idx="11">
                  <c:v>1023384.56075479</c:v>
                </c:pt>
                <c:pt idx="12">
                  <c:v>1023565.39139359</c:v>
                </c:pt>
                <c:pt idx="13">
                  <c:v>1026658.98806404</c:v>
                </c:pt>
                <c:pt idx="14">
                  <c:v>1032952.61897569</c:v>
                </c:pt>
                <c:pt idx="15">
                  <c:v>1038360.55342101</c:v>
                </c:pt>
                <c:pt idx="16">
                  <c:v>1024094.18230355</c:v>
                </c:pt>
                <c:pt idx="17">
                  <c:v>1033852.46937428</c:v>
                </c:pt>
                <c:pt idx="18">
                  <c:v>1034487.81108644</c:v>
                </c:pt>
                <c:pt idx="19">
                  <c:v>1038142.58286391</c:v>
                </c:pt>
                <c:pt idx="20">
                  <c:v>1039691.58921257</c:v>
                </c:pt>
                <c:pt idx="21">
                  <c:v>1040034.79376248</c:v>
                </c:pt>
                <c:pt idx="22">
                  <c:v>1037136.0684316501</c:v>
                </c:pt>
                <c:pt idx="23">
                  <c:v>1030304.36163047</c:v>
                </c:pt>
                <c:pt idx="24">
                  <c:v>1024534.76590754</c:v>
                </c:pt>
                <c:pt idx="25">
                  <c:v>1020175.12830256</c:v>
                </c:pt>
                <c:pt idx="26">
                  <c:v>1022466.2536285</c:v>
                </c:pt>
                <c:pt idx="27">
                  <c:v>1038239.96191799</c:v>
                </c:pt>
                <c:pt idx="28">
                  <c:v>1038026.63385068</c:v>
                </c:pt>
                <c:pt idx="29">
                  <c:v>1045062.3837396</c:v>
                </c:pt>
                <c:pt idx="30">
                  <c:v>1044450.14124492</c:v>
                </c:pt>
                <c:pt idx="31">
                  <c:v>1045577.13394873</c:v>
                </c:pt>
                <c:pt idx="32">
                  <c:v>1042307.46236073</c:v>
                </c:pt>
                <c:pt idx="33">
                  <c:v>1037145.35341123</c:v>
                </c:pt>
                <c:pt idx="34">
                  <c:v>1047200.420134</c:v>
                </c:pt>
                <c:pt idx="35">
                  <c:v>1062134.7436235901</c:v>
                </c:pt>
                <c:pt idx="36">
                  <c:v>1062691.2762408201</c:v>
                </c:pt>
                <c:pt idx="37">
                  <c:v>1067278.16938248</c:v>
                </c:pt>
                <c:pt idx="38">
                  <c:v>1070812.34965693</c:v>
                </c:pt>
                <c:pt idx="39">
                  <c:v>1074926.16176608</c:v>
                </c:pt>
                <c:pt idx="40">
                  <c:v>1074300.1050334999</c:v>
                </c:pt>
                <c:pt idx="41">
                  <c:v>1082611.29406798</c:v>
                </c:pt>
                <c:pt idx="42">
                  <c:v>1080960.15294399</c:v>
                </c:pt>
                <c:pt idx="43">
                  <c:v>1061383.33966674</c:v>
                </c:pt>
                <c:pt idx="44">
                  <c:v>1074522.71808039</c:v>
                </c:pt>
                <c:pt idx="45">
                  <c:v>1090959.62302077</c:v>
                </c:pt>
                <c:pt idx="46">
                  <c:v>1089160.14868649</c:v>
                </c:pt>
                <c:pt idx="47">
                  <c:v>1090829.7465381699</c:v>
                </c:pt>
                <c:pt idx="48">
                  <c:v>1100973.0205669</c:v>
                </c:pt>
                <c:pt idx="49">
                  <c:v>1100495.2970446099</c:v>
                </c:pt>
                <c:pt idx="50">
                  <c:v>1107925.3188711</c:v>
                </c:pt>
                <c:pt idx="51">
                  <c:v>1105569.1986881399</c:v>
                </c:pt>
                <c:pt idx="52">
                  <c:v>1091344.6099787699</c:v>
                </c:pt>
                <c:pt idx="53">
                  <c:v>1100857.0715536701</c:v>
                </c:pt>
                <c:pt idx="54">
                  <c:v>1104669.4615209999</c:v>
                </c:pt>
                <c:pt idx="55">
                  <c:v>1099085.3389266599</c:v>
                </c:pt>
                <c:pt idx="56">
                  <c:v>1091390.9216451801</c:v>
                </c:pt>
                <c:pt idx="57">
                  <c:v>1092745.2831171399</c:v>
                </c:pt>
                <c:pt idx="58">
                  <c:v>1120007.2286962899</c:v>
                </c:pt>
                <c:pt idx="59">
                  <c:v>1119390.34371182</c:v>
                </c:pt>
                <c:pt idx="60">
                  <c:v>1114126.2132184501</c:v>
                </c:pt>
                <c:pt idx="61">
                  <c:v>1115202.25176607</c:v>
                </c:pt>
                <c:pt idx="62">
                  <c:v>1112656.0159647199</c:v>
                </c:pt>
                <c:pt idx="63">
                  <c:v>1119265.1097190101</c:v>
                </c:pt>
                <c:pt idx="64">
                  <c:v>1128596.6274236599</c:v>
                </c:pt>
                <c:pt idx="65">
                  <c:v>1125438.2623590999</c:v>
                </c:pt>
                <c:pt idx="66">
                  <c:v>1112943.5106371799</c:v>
                </c:pt>
                <c:pt idx="67">
                  <c:v>1117813.36919298</c:v>
                </c:pt>
                <c:pt idx="68">
                  <c:v>1130600.25807713</c:v>
                </c:pt>
                <c:pt idx="69">
                  <c:v>1121240.88543376</c:v>
                </c:pt>
                <c:pt idx="70">
                  <c:v>1119483.08027612</c:v>
                </c:pt>
                <c:pt idx="71">
                  <c:v>1135484.0441022899</c:v>
                </c:pt>
                <c:pt idx="72">
                  <c:v>1132789.3618592001</c:v>
                </c:pt>
                <c:pt idx="73">
                  <c:v>1131968.4337869899</c:v>
                </c:pt>
                <c:pt idx="74">
                  <c:v>1122400.3755661</c:v>
                </c:pt>
                <c:pt idx="75">
                  <c:v>1131439.7561084901</c:v>
                </c:pt>
                <c:pt idx="76">
                  <c:v>1137742.78523117</c:v>
                </c:pt>
                <c:pt idx="77">
                  <c:v>1148637.3499853001</c:v>
                </c:pt>
                <c:pt idx="78">
                  <c:v>1149217.09505146</c:v>
                </c:pt>
                <c:pt idx="79">
                  <c:v>1149945.17332792</c:v>
                </c:pt>
                <c:pt idx="80">
                  <c:v>1146258.0173533999</c:v>
                </c:pt>
                <c:pt idx="81">
                  <c:v>1142079.2103872199</c:v>
                </c:pt>
                <c:pt idx="82">
                  <c:v>1149666.96363503</c:v>
                </c:pt>
                <c:pt idx="83">
                  <c:v>1149680.8911043999</c:v>
                </c:pt>
                <c:pt idx="84">
                  <c:v>1148887.70473946</c:v>
                </c:pt>
                <c:pt idx="85">
                  <c:v>1141318.63468225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33-435E-80F4-626BC96FBF8C}"/>
            </c:ext>
          </c:extLst>
        </c:ser>
        <c:ser>
          <c:idx val="2"/>
          <c:order val="2"/>
          <c:tx>
            <c:strRef>
              <c:f>'Injected portfolio'!$AE$1</c:f>
              <c:strCache>
                <c:ptCount val="1"/>
                <c:pt idx="0">
                  <c:v>difference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portfolio'!$AB$2:$AB$87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portfolio'!$AE$2:$AE$87</c:f>
              <c:numCache>
                <c:formatCode>General</c:formatCode>
                <c:ptCount val="86"/>
                <c:pt idx="0">
                  <c:v>-1.0477378964424133E-9</c:v>
                </c:pt>
                <c:pt idx="1">
                  <c:v>3110.134474268998</c:v>
                </c:pt>
                <c:pt idx="2">
                  <c:v>10981.181943122065</c:v>
                </c:pt>
                <c:pt idx="3">
                  <c:v>14215.987201699987</c:v>
                </c:pt>
                <c:pt idx="4">
                  <c:v>28909.855973321013</c:v>
                </c:pt>
                <c:pt idx="5">
                  <c:v>30305.085070961039</c:v>
                </c:pt>
                <c:pt idx="6">
                  <c:v>35857.418677991955</c:v>
                </c:pt>
                <c:pt idx="7">
                  <c:v>21785.975467539974</c:v>
                </c:pt>
                <c:pt idx="8">
                  <c:v>22856.20853196003</c:v>
                </c:pt>
                <c:pt idx="9">
                  <c:v>27822.981020090054</c:v>
                </c:pt>
                <c:pt idx="10">
                  <c:v>27747.168639070005</c:v>
                </c:pt>
                <c:pt idx="11">
                  <c:v>33081.627338210121</c:v>
                </c:pt>
                <c:pt idx="12">
                  <c:v>15358.94810788997</c:v>
                </c:pt>
                <c:pt idx="13">
                  <c:v>16255.66495542007</c:v>
                </c:pt>
                <c:pt idx="14">
                  <c:v>20011.578820919967</c:v>
                </c:pt>
                <c:pt idx="15">
                  <c:v>13608.352419489995</c:v>
                </c:pt>
                <c:pt idx="16">
                  <c:v>11229.246020990075</c:v>
                </c:pt>
                <c:pt idx="17">
                  <c:v>8981.2926105400547</c:v>
                </c:pt>
                <c:pt idx="18">
                  <c:v>16263.626744600013</c:v>
                </c:pt>
                <c:pt idx="19">
                  <c:v>16698.730835429975</c:v>
                </c:pt>
                <c:pt idx="20">
                  <c:v>23065.751887099934</c:v>
                </c:pt>
                <c:pt idx="21">
                  <c:v>25194.463390539982</c:v>
                </c:pt>
                <c:pt idx="22">
                  <c:v>28801.123418719973</c:v>
                </c:pt>
                <c:pt idx="23">
                  <c:v>44918.596812519943</c:v>
                </c:pt>
                <c:pt idx="24">
                  <c:v>56040.731281740125</c:v>
                </c:pt>
                <c:pt idx="25">
                  <c:v>66569.757379299961</c:v>
                </c:pt>
                <c:pt idx="26">
                  <c:v>62968.224196719937</c:v>
                </c:pt>
                <c:pt idx="27">
                  <c:v>55120.019081619917</c:v>
                </c:pt>
                <c:pt idx="28">
                  <c:v>59296.888169500045</c:v>
                </c:pt>
                <c:pt idx="29">
                  <c:v>54118.584789310116</c:v>
                </c:pt>
                <c:pt idx="30">
                  <c:v>57205.760010010097</c:v>
                </c:pt>
                <c:pt idx="31">
                  <c:v>69759.379755030037</c:v>
                </c:pt>
                <c:pt idx="32">
                  <c:v>68057.19939158007</c:v>
                </c:pt>
                <c:pt idx="33">
                  <c:v>71690.825225349981</c:v>
                </c:pt>
                <c:pt idx="34">
                  <c:v>63158.184315840015</c:v>
                </c:pt>
                <c:pt idx="35">
                  <c:v>58095.255091510015</c:v>
                </c:pt>
                <c:pt idx="36">
                  <c:v>46668.313058919972</c:v>
                </c:pt>
                <c:pt idx="37">
                  <c:v>45015.919282339979</c:v>
                </c:pt>
                <c:pt idx="38">
                  <c:v>46512.310939660063</c:v>
                </c:pt>
                <c:pt idx="39">
                  <c:v>63030.618022250012</c:v>
                </c:pt>
                <c:pt idx="40">
                  <c:v>66103.269445690094</c:v>
                </c:pt>
                <c:pt idx="41">
                  <c:v>61784.688115689903</c:v>
                </c:pt>
                <c:pt idx="42">
                  <c:v>68878.511035660049</c:v>
                </c:pt>
                <c:pt idx="43">
                  <c:v>77160.184995190008</c:v>
                </c:pt>
                <c:pt idx="44">
                  <c:v>86710.008801569929</c:v>
                </c:pt>
                <c:pt idx="45">
                  <c:v>70300.596676779911</c:v>
                </c:pt>
                <c:pt idx="46">
                  <c:v>78778.198073660024</c:v>
                </c:pt>
                <c:pt idx="47">
                  <c:v>80477.993336579995</c:v>
                </c:pt>
                <c:pt idx="48">
                  <c:v>75140.618813459994</c:v>
                </c:pt>
                <c:pt idx="49">
                  <c:v>80047.593395190081</c:v>
                </c:pt>
                <c:pt idx="50">
                  <c:v>72575.249264339916</c:v>
                </c:pt>
                <c:pt idx="51">
                  <c:v>74613.141294440022</c:v>
                </c:pt>
                <c:pt idx="52">
                  <c:v>81293.325040070107</c:v>
                </c:pt>
                <c:pt idx="53">
                  <c:v>78755.787886079866</c:v>
                </c:pt>
                <c:pt idx="54">
                  <c:v>81832.62568142009</c:v>
                </c:pt>
                <c:pt idx="55">
                  <c:v>94567.472933500074</c:v>
                </c:pt>
                <c:pt idx="56">
                  <c:v>91556.727085079998</c:v>
                </c:pt>
                <c:pt idx="57">
                  <c:v>87799.638249919983</c:v>
                </c:pt>
                <c:pt idx="58">
                  <c:v>77555.979680250166</c:v>
                </c:pt>
                <c:pt idx="59">
                  <c:v>82951.830467869993</c:v>
                </c:pt>
                <c:pt idx="60">
                  <c:v>86223.026872959919</c:v>
                </c:pt>
                <c:pt idx="61">
                  <c:v>84404.618190929992</c:v>
                </c:pt>
                <c:pt idx="62">
                  <c:v>84715.350800040178</c:v>
                </c:pt>
                <c:pt idx="63">
                  <c:v>72077.932343849912</c:v>
                </c:pt>
                <c:pt idx="64">
                  <c:v>74612.646164020058</c:v>
                </c:pt>
                <c:pt idx="65">
                  <c:v>84378.946595079964</c:v>
                </c:pt>
                <c:pt idx="66">
                  <c:v>89399.424323339947</c:v>
                </c:pt>
                <c:pt idx="67">
                  <c:v>95599.453248810023</c:v>
                </c:pt>
                <c:pt idx="68">
                  <c:v>87947.502613620134</c:v>
                </c:pt>
                <c:pt idx="69">
                  <c:v>75828.327946069883</c:v>
                </c:pt>
                <c:pt idx="70">
                  <c:v>61738.200746030081</c:v>
                </c:pt>
                <c:pt idx="71">
                  <c:v>64475.14374913997</c:v>
                </c:pt>
                <c:pt idx="72">
                  <c:v>66610.697219709866</c:v>
                </c:pt>
                <c:pt idx="73">
                  <c:v>60435.652837630128</c:v>
                </c:pt>
                <c:pt idx="74">
                  <c:v>64258.87858318002</c:v>
                </c:pt>
                <c:pt idx="75">
                  <c:v>61137.796859029913</c:v>
                </c:pt>
                <c:pt idx="76">
                  <c:v>63416.88452794007</c:v>
                </c:pt>
                <c:pt idx="77">
                  <c:v>60567.146284869872</c:v>
                </c:pt>
                <c:pt idx="78">
                  <c:v>55443.910664919997</c:v>
                </c:pt>
                <c:pt idx="79">
                  <c:v>51127.052338999929</c:v>
                </c:pt>
                <c:pt idx="80">
                  <c:v>51799.822901510168</c:v>
                </c:pt>
                <c:pt idx="81">
                  <c:v>55061.944031160092</c:v>
                </c:pt>
                <c:pt idx="82">
                  <c:v>65337.038971859962</c:v>
                </c:pt>
                <c:pt idx="83">
                  <c:v>66521.456534640165</c:v>
                </c:pt>
                <c:pt idx="84">
                  <c:v>60031.681487459922</c:v>
                </c:pt>
                <c:pt idx="85">
                  <c:v>61208.483989330009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033-435E-80F4-626BC96FB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475376"/>
        <c:axId val="1233476624"/>
      </c:lineChart>
      <c:dateAx>
        <c:axId val="123347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76624"/>
        <c:crosses val="autoZero"/>
        <c:auto val="1"/>
        <c:lblOffset val="100"/>
        <c:baseTimeUnit val="days"/>
      </c:dateAx>
      <c:valAx>
        <c:axId val="1233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7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Type</a:t>
            </a:r>
            <a:r>
              <a:rPr lang="en-US" altLang="zh-CN" baseline="0"/>
              <a:t> E preselection with K-means=7 in S&amp;P100 from Swan 5-10D -&gt; Present with MVO2.0 With Estimated Swan beta using MA30 without monthly update</a:t>
            </a:r>
          </a:p>
          <a:p>
            <a:pPr>
              <a:defRPr/>
            </a:pPr>
            <a:r>
              <a:rPr lang="en-US" altLang="zh-CN" baseline="0"/>
              <a:t>(modified K-means with Davies-Bouldin index)</a:t>
            </a:r>
            <a:endParaRPr lang="zh-CN" altLang="en-US"/>
          </a:p>
        </c:rich>
      </c:tx>
      <c:layout>
        <c:manualLayout>
          <c:xMode val="edge"/>
          <c:yMode val="edge"/>
          <c:x val="0.11630615640599003"/>
          <c:y val="1.6648168701442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'Injected portfolio'!$AT$1</c:f>
              <c:strCache>
                <c:ptCount val="1"/>
                <c:pt idx="0">
                  <c:v>portfolio_value (with monthly rebalance)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portfolio'!$AS$2:$AS$87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portfolio'!$AT$2:$AT$87</c:f>
              <c:numCache>
                <c:formatCode>General</c:formatCode>
                <c:ptCount val="86"/>
                <c:pt idx="0">
                  <c:v>999999.99999999895</c:v>
                </c:pt>
                <c:pt idx="1">
                  <c:v>1000600.92535977</c:v>
                </c:pt>
                <c:pt idx="2">
                  <c:v>1010294.65961184</c:v>
                </c:pt>
                <c:pt idx="3">
                  <c:v>1015913.4399921</c:v>
                </c:pt>
                <c:pt idx="4">
                  <c:v>1023325.73337898</c:v>
                </c:pt>
                <c:pt idx="5">
                  <c:v>1027902.53999012</c:v>
                </c:pt>
                <c:pt idx="6">
                  <c:v>1028316.09032805</c:v>
                </c:pt>
                <c:pt idx="7">
                  <c:v>1024095.67075262</c:v>
                </c:pt>
                <c:pt idx="8">
                  <c:v>1029891.95842088</c:v>
                </c:pt>
                <c:pt idx="9">
                  <c:v>1034770.6368345</c:v>
                </c:pt>
                <c:pt idx="10">
                  <c:v>1039972.76918475</c:v>
                </c:pt>
                <c:pt idx="11">
                  <c:v>1056466.1880930001</c:v>
                </c:pt>
                <c:pt idx="12">
                  <c:v>1038924.33950148</c:v>
                </c:pt>
                <c:pt idx="13">
                  <c:v>1042914.65301946</c:v>
                </c:pt>
                <c:pt idx="14">
                  <c:v>1052964.19779661</c:v>
                </c:pt>
                <c:pt idx="15">
                  <c:v>1051968.9058405</c:v>
                </c:pt>
                <c:pt idx="16">
                  <c:v>1035323.42832454</c:v>
                </c:pt>
                <c:pt idx="17">
                  <c:v>1042833.76198482</c:v>
                </c:pt>
                <c:pt idx="18">
                  <c:v>1050751.43783104</c:v>
                </c:pt>
                <c:pt idx="19">
                  <c:v>1054841.31369934</c:v>
                </c:pt>
                <c:pt idx="20">
                  <c:v>1062757.3410996699</c:v>
                </c:pt>
                <c:pt idx="21">
                  <c:v>1065229.25715302</c:v>
                </c:pt>
                <c:pt idx="22">
                  <c:v>1065937.19185037</c:v>
                </c:pt>
                <c:pt idx="23">
                  <c:v>1075222.95844299</c:v>
                </c:pt>
                <c:pt idx="24">
                  <c:v>1080575.4971892801</c:v>
                </c:pt>
                <c:pt idx="25">
                  <c:v>1086744.8856818599</c:v>
                </c:pt>
                <c:pt idx="26">
                  <c:v>1085434.47782522</c:v>
                </c:pt>
                <c:pt idx="27">
                  <c:v>1093359.9809996099</c:v>
                </c:pt>
                <c:pt idx="28">
                  <c:v>1089930.48914779</c:v>
                </c:pt>
                <c:pt idx="29">
                  <c:v>1091746.28365585</c:v>
                </c:pt>
                <c:pt idx="30">
                  <c:v>1092204.6517597099</c:v>
                </c:pt>
                <c:pt idx="31">
                  <c:v>1107479.4251041301</c:v>
                </c:pt>
                <c:pt idx="32">
                  <c:v>1100504.0957115099</c:v>
                </c:pt>
                <c:pt idx="33">
                  <c:v>1098997.9943397299</c:v>
                </c:pt>
                <c:pt idx="34">
                  <c:v>1100583.6586928</c:v>
                </c:pt>
                <c:pt idx="35">
                  <c:v>1110484.9327857599</c:v>
                </c:pt>
                <c:pt idx="36">
                  <c:v>1114393.0281934501</c:v>
                </c:pt>
                <c:pt idx="37">
                  <c:v>1115710.45090117</c:v>
                </c:pt>
                <c:pt idx="38">
                  <c:v>1121532.1362558401</c:v>
                </c:pt>
                <c:pt idx="39">
                  <c:v>1144567.36144763</c:v>
                </c:pt>
                <c:pt idx="40">
                  <c:v>1148122.5462986301</c:v>
                </c:pt>
                <c:pt idx="41">
                  <c:v>1153405.4645901199</c:v>
                </c:pt>
                <c:pt idx="42">
                  <c:v>1160831.6747785299</c:v>
                </c:pt>
                <c:pt idx="43">
                  <c:v>1149541.2047333999</c:v>
                </c:pt>
                <c:pt idx="44">
                  <c:v>1172466.44313615</c:v>
                </c:pt>
                <c:pt idx="45">
                  <c:v>1176299.8107673801</c:v>
                </c:pt>
                <c:pt idx="46">
                  <c:v>1184818.0046345</c:v>
                </c:pt>
                <c:pt idx="47">
                  <c:v>1183237.3627468999</c:v>
                </c:pt>
                <c:pt idx="48">
                  <c:v>1182712.19884655</c:v>
                </c:pt>
                <c:pt idx="49">
                  <c:v>1187602.79028646</c:v>
                </c:pt>
                <c:pt idx="50">
                  <c:v>1187414.44052955</c:v>
                </c:pt>
                <c:pt idx="51">
                  <c:v>1187609.81754519</c:v>
                </c:pt>
                <c:pt idx="52">
                  <c:v>1180575.55937402</c:v>
                </c:pt>
                <c:pt idx="53">
                  <c:v>1189699.94321703</c:v>
                </c:pt>
                <c:pt idx="54">
                  <c:v>1198288.5366131</c:v>
                </c:pt>
                <c:pt idx="55">
                  <c:v>1206036.62166602</c:v>
                </c:pt>
                <c:pt idx="56">
                  <c:v>1193912.38234202</c:v>
                </c:pt>
                <c:pt idx="57">
                  <c:v>1188280.22053749</c:v>
                </c:pt>
                <c:pt idx="58">
                  <c:v>1209227.1044411501</c:v>
                </c:pt>
                <c:pt idx="59">
                  <c:v>1215623.22003479</c:v>
                </c:pt>
                <c:pt idx="60">
                  <c:v>1209975.4377218699</c:v>
                </c:pt>
                <c:pt idx="61">
                  <c:v>1203767.2631033701</c:v>
                </c:pt>
                <c:pt idx="62">
                  <c:v>1202783.9578656401</c:v>
                </c:pt>
                <c:pt idx="63">
                  <c:v>1195037.4066409301</c:v>
                </c:pt>
                <c:pt idx="64">
                  <c:v>1211194.8768543401</c:v>
                </c:pt>
                <c:pt idx="65">
                  <c:v>1217028.54211967</c:v>
                </c:pt>
                <c:pt idx="66">
                  <c:v>1208452.43225587</c:v>
                </c:pt>
                <c:pt idx="67">
                  <c:v>1219665.6203089401</c:v>
                </c:pt>
                <c:pt idx="68">
                  <c:v>1221482.6383200299</c:v>
                </c:pt>
                <c:pt idx="69">
                  <c:v>1200075.4730892901</c:v>
                </c:pt>
                <c:pt idx="70">
                  <c:v>1187561.8842573499</c:v>
                </c:pt>
                <c:pt idx="71">
                  <c:v>1205854.98019657</c:v>
                </c:pt>
                <c:pt idx="72">
                  <c:v>1204975.81791639</c:v>
                </c:pt>
                <c:pt idx="73">
                  <c:v>1197756.2689338599</c:v>
                </c:pt>
                <c:pt idx="74">
                  <c:v>1193041.57200543</c:v>
                </c:pt>
                <c:pt idx="75">
                  <c:v>1199562.52985492</c:v>
                </c:pt>
                <c:pt idx="76">
                  <c:v>1207697.1674337201</c:v>
                </c:pt>
                <c:pt idx="77">
                  <c:v>1217443.6696355499</c:v>
                </c:pt>
                <c:pt idx="78">
                  <c:v>1214718.66464093</c:v>
                </c:pt>
                <c:pt idx="79">
                  <c:v>1210759.08483175</c:v>
                </c:pt>
                <c:pt idx="80">
                  <c:v>1210002.68100889</c:v>
                </c:pt>
                <c:pt idx="81">
                  <c:v>1210779.3665626999</c:v>
                </c:pt>
                <c:pt idx="82">
                  <c:v>1230519.1555376099</c:v>
                </c:pt>
                <c:pt idx="83">
                  <c:v>1231896.1469008201</c:v>
                </c:pt>
                <c:pt idx="84">
                  <c:v>1228827.8669106101</c:v>
                </c:pt>
                <c:pt idx="85">
                  <c:v>1223840.8291448201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E-417C-978E-D4B8CB83569A}"/>
            </c:ext>
          </c:extLst>
        </c:ser>
        <c:ser>
          <c:idx val="1"/>
          <c:order val="1"/>
          <c:tx>
            <c:strRef>
              <c:f>'Injected portfolio'!$AU$1</c:f>
              <c:strCache>
                <c:ptCount val="1"/>
                <c:pt idx="0">
                  <c:v>portfolio_value (without monthly rebalance)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portfolio'!$AS$2:$AS$87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portfolio'!$AU$2:$AU$87</c:f>
              <c:numCache>
                <c:formatCode>General</c:formatCode>
                <c:ptCount val="86"/>
                <c:pt idx="0">
                  <c:v>999999.99999999895</c:v>
                </c:pt>
                <c:pt idx="1">
                  <c:v>1000600.92535977</c:v>
                </c:pt>
                <c:pt idx="2">
                  <c:v>1010294.65961184</c:v>
                </c:pt>
                <c:pt idx="3">
                  <c:v>1015913.4399921</c:v>
                </c:pt>
                <c:pt idx="4">
                  <c:v>1023325.73337898</c:v>
                </c:pt>
                <c:pt idx="5">
                  <c:v>1027902.53999012</c:v>
                </c:pt>
                <c:pt idx="6">
                  <c:v>1028316.09032805</c:v>
                </c:pt>
                <c:pt idx="7">
                  <c:v>1024095.67075262</c:v>
                </c:pt>
                <c:pt idx="8">
                  <c:v>1029891.95842088</c:v>
                </c:pt>
                <c:pt idx="9">
                  <c:v>1034770.6368345</c:v>
                </c:pt>
                <c:pt idx="10">
                  <c:v>1039972.76918475</c:v>
                </c:pt>
                <c:pt idx="11">
                  <c:v>1056466.1880930001</c:v>
                </c:pt>
                <c:pt idx="12">
                  <c:v>1038924.33950148</c:v>
                </c:pt>
                <c:pt idx="13">
                  <c:v>1042914.65301946</c:v>
                </c:pt>
                <c:pt idx="14">
                  <c:v>1052964.19779661</c:v>
                </c:pt>
                <c:pt idx="15">
                  <c:v>1051968.9058405</c:v>
                </c:pt>
                <c:pt idx="16">
                  <c:v>1035323.42832454</c:v>
                </c:pt>
                <c:pt idx="17">
                  <c:v>1042833.76198482</c:v>
                </c:pt>
                <c:pt idx="18">
                  <c:v>1050751.43783104</c:v>
                </c:pt>
                <c:pt idx="19">
                  <c:v>1054841.31369934</c:v>
                </c:pt>
                <c:pt idx="20">
                  <c:v>1062757.3410996699</c:v>
                </c:pt>
                <c:pt idx="21">
                  <c:v>1065229.25715302</c:v>
                </c:pt>
                <c:pt idx="22">
                  <c:v>1065937.19185037</c:v>
                </c:pt>
                <c:pt idx="23">
                  <c:v>1075222.95844299</c:v>
                </c:pt>
                <c:pt idx="24">
                  <c:v>1080575.4971892801</c:v>
                </c:pt>
                <c:pt idx="25">
                  <c:v>1086744.8856818599</c:v>
                </c:pt>
                <c:pt idx="26">
                  <c:v>1085434.47782522</c:v>
                </c:pt>
                <c:pt idx="27">
                  <c:v>1093359.9809996099</c:v>
                </c:pt>
                <c:pt idx="28">
                  <c:v>1097323.52202018</c:v>
                </c:pt>
                <c:pt idx="29">
                  <c:v>1099180.9685289101</c:v>
                </c:pt>
                <c:pt idx="30">
                  <c:v>1101655.9012549301</c:v>
                </c:pt>
                <c:pt idx="31">
                  <c:v>1115336.51370376</c:v>
                </c:pt>
                <c:pt idx="32">
                  <c:v>1110364.6617523101</c:v>
                </c:pt>
                <c:pt idx="33">
                  <c:v>1108836.17863658</c:v>
                </c:pt>
                <c:pt idx="34">
                  <c:v>1110358.60444984</c:v>
                </c:pt>
                <c:pt idx="35">
                  <c:v>1120229.9987151001</c:v>
                </c:pt>
                <c:pt idx="36">
                  <c:v>1109359.58929974</c:v>
                </c:pt>
                <c:pt idx="37">
                  <c:v>1112294.08866482</c:v>
                </c:pt>
                <c:pt idx="38">
                  <c:v>1117324.66059659</c:v>
                </c:pt>
                <c:pt idx="39">
                  <c:v>1137956.77978833</c:v>
                </c:pt>
                <c:pt idx="40">
                  <c:v>1140403.37447919</c:v>
                </c:pt>
                <c:pt idx="41">
                  <c:v>1144395.9821836699</c:v>
                </c:pt>
                <c:pt idx="42">
                  <c:v>1149838.66397965</c:v>
                </c:pt>
                <c:pt idx="43">
                  <c:v>1138543.52466193</c:v>
                </c:pt>
                <c:pt idx="44">
                  <c:v>1161232.7268819599</c:v>
                </c:pt>
                <c:pt idx="45">
                  <c:v>1161260.2196975499</c:v>
                </c:pt>
                <c:pt idx="46">
                  <c:v>1167938.34676015</c:v>
                </c:pt>
                <c:pt idx="47">
                  <c:v>1171307.7398747499</c:v>
                </c:pt>
                <c:pt idx="48">
                  <c:v>1176113.63938036</c:v>
                </c:pt>
                <c:pt idx="49">
                  <c:v>1180542.8904398</c:v>
                </c:pt>
                <c:pt idx="50">
                  <c:v>1180500.5681354399</c:v>
                </c:pt>
                <c:pt idx="51">
                  <c:v>1180182.3399825799</c:v>
                </c:pt>
                <c:pt idx="52">
                  <c:v>1172637.93501884</c:v>
                </c:pt>
                <c:pt idx="53">
                  <c:v>1179612.85943975</c:v>
                </c:pt>
                <c:pt idx="54">
                  <c:v>1186502.08720242</c:v>
                </c:pt>
                <c:pt idx="55">
                  <c:v>1193652.81186016</c:v>
                </c:pt>
                <c:pt idx="56">
                  <c:v>1182947.6487302601</c:v>
                </c:pt>
                <c:pt idx="57">
                  <c:v>1180544.9213670599</c:v>
                </c:pt>
                <c:pt idx="58">
                  <c:v>1197563.2083765401</c:v>
                </c:pt>
                <c:pt idx="59">
                  <c:v>1202342.17417969</c:v>
                </c:pt>
                <c:pt idx="60">
                  <c:v>1200349.24009141</c:v>
                </c:pt>
                <c:pt idx="61">
                  <c:v>1199606.869957</c:v>
                </c:pt>
                <c:pt idx="62">
                  <c:v>1197371.3667647601</c:v>
                </c:pt>
                <c:pt idx="63">
                  <c:v>1191343.04206286</c:v>
                </c:pt>
                <c:pt idx="64">
                  <c:v>1203209.27358768</c:v>
                </c:pt>
                <c:pt idx="65">
                  <c:v>1209817.2089541799</c:v>
                </c:pt>
                <c:pt idx="66">
                  <c:v>1202342.9349605199</c:v>
                </c:pt>
                <c:pt idx="67">
                  <c:v>1213412.82244179</c:v>
                </c:pt>
                <c:pt idx="68">
                  <c:v>1218547.7606907501</c:v>
                </c:pt>
                <c:pt idx="69">
                  <c:v>1197069.2133798299</c:v>
                </c:pt>
                <c:pt idx="70">
                  <c:v>1181221.2810221501</c:v>
                </c:pt>
                <c:pt idx="71">
                  <c:v>1199959.1878514299</c:v>
                </c:pt>
                <c:pt idx="72">
                  <c:v>1199400.0590789099</c:v>
                </c:pt>
                <c:pt idx="73">
                  <c:v>1192404.08662462</c:v>
                </c:pt>
                <c:pt idx="74">
                  <c:v>1186659.25414928</c:v>
                </c:pt>
                <c:pt idx="75">
                  <c:v>1192577.55296752</c:v>
                </c:pt>
                <c:pt idx="76">
                  <c:v>1201159.6697591101</c:v>
                </c:pt>
                <c:pt idx="77">
                  <c:v>1209204.49627017</c:v>
                </c:pt>
                <c:pt idx="78">
                  <c:v>1204661.00571638</c:v>
                </c:pt>
                <c:pt idx="79">
                  <c:v>1201072.22566692</c:v>
                </c:pt>
                <c:pt idx="80">
                  <c:v>1198057.8402549101</c:v>
                </c:pt>
                <c:pt idx="81">
                  <c:v>1197141.15441838</c:v>
                </c:pt>
                <c:pt idx="82">
                  <c:v>1215004.0026068899</c:v>
                </c:pt>
                <c:pt idx="83">
                  <c:v>1216202.3476390401</c:v>
                </c:pt>
                <c:pt idx="84">
                  <c:v>1208919.3862269199</c:v>
                </c:pt>
                <c:pt idx="85">
                  <c:v>1202527.11867158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DE-417C-978E-D4B8CB83569A}"/>
            </c:ext>
          </c:extLst>
        </c:ser>
        <c:ser>
          <c:idx val="2"/>
          <c:order val="2"/>
          <c:tx>
            <c:strRef>
              <c:f>'Injected portfolio'!$AV$1</c:f>
              <c:strCache>
                <c:ptCount val="1"/>
                <c:pt idx="0">
                  <c:v>oex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portfolio'!$AS$2:$AS$87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portfolio'!$AV$2:$AV$87</c:f>
              <c:numCache>
                <c:formatCode>General</c:formatCode>
                <c:ptCount val="86"/>
                <c:pt idx="0">
                  <c:v>1000000</c:v>
                </c:pt>
                <c:pt idx="1">
                  <c:v>997490.79088550096</c:v>
                </c:pt>
                <c:pt idx="2">
                  <c:v>999313.47766871797</c:v>
                </c:pt>
                <c:pt idx="3">
                  <c:v>1001697.4527904</c:v>
                </c:pt>
                <c:pt idx="4">
                  <c:v>994415.87740565895</c:v>
                </c:pt>
                <c:pt idx="5">
                  <c:v>997597.45491915895</c:v>
                </c:pt>
                <c:pt idx="6">
                  <c:v>992458.67165005801</c:v>
                </c:pt>
                <c:pt idx="7">
                  <c:v>1002309.69528508</c:v>
                </c:pt>
                <c:pt idx="8">
                  <c:v>1007035.74988892</c:v>
                </c:pt>
                <c:pt idx="9">
                  <c:v>1006947.65581441</c:v>
                </c:pt>
                <c:pt idx="10">
                  <c:v>1012225.60054568</c:v>
                </c:pt>
                <c:pt idx="11">
                  <c:v>1023384.56075479</c:v>
                </c:pt>
                <c:pt idx="12">
                  <c:v>1023565.39139359</c:v>
                </c:pt>
                <c:pt idx="13">
                  <c:v>1026658.98806404</c:v>
                </c:pt>
                <c:pt idx="14">
                  <c:v>1032952.61897569</c:v>
                </c:pt>
                <c:pt idx="15">
                  <c:v>1038360.55342101</c:v>
                </c:pt>
                <c:pt idx="16">
                  <c:v>1024094.18230355</c:v>
                </c:pt>
                <c:pt idx="17">
                  <c:v>1033852.46937428</c:v>
                </c:pt>
                <c:pt idx="18">
                  <c:v>1034487.81108644</c:v>
                </c:pt>
                <c:pt idx="19">
                  <c:v>1038142.58286391</c:v>
                </c:pt>
                <c:pt idx="20">
                  <c:v>1039691.58921257</c:v>
                </c:pt>
                <c:pt idx="21">
                  <c:v>1040034.79376248</c:v>
                </c:pt>
                <c:pt idx="22">
                  <c:v>1037136.0684316501</c:v>
                </c:pt>
                <c:pt idx="23">
                  <c:v>1030304.36163047</c:v>
                </c:pt>
                <c:pt idx="24">
                  <c:v>1024534.76590754</c:v>
                </c:pt>
                <c:pt idx="25">
                  <c:v>1020175.12830256</c:v>
                </c:pt>
                <c:pt idx="26">
                  <c:v>1022466.2536285</c:v>
                </c:pt>
                <c:pt idx="27">
                  <c:v>1038239.96191799</c:v>
                </c:pt>
                <c:pt idx="28">
                  <c:v>1038026.63385068</c:v>
                </c:pt>
                <c:pt idx="29">
                  <c:v>1045062.3837396</c:v>
                </c:pt>
                <c:pt idx="30">
                  <c:v>1044450.14124492</c:v>
                </c:pt>
                <c:pt idx="31">
                  <c:v>1045577.13394873</c:v>
                </c:pt>
                <c:pt idx="32">
                  <c:v>1042307.46236073</c:v>
                </c:pt>
                <c:pt idx="33">
                  <c:v>1037145.35341123</c:v>
                </c:pt>
                <c:pt idx="34">
                  <c:v>1047200.420134</c:v>
                </c:pt>
                <c:pt idx="35">
                  <c:v>1062134.7436235901</c:v>
                </c:pt>
                <c:pt idx="36">
                  <c:v>1062691.2762408201</c:v>
                </c:pt>
                <c:pt idx="37">
                  <c:v>1067278.16938248</c:v>
                </c:pt>
                <c:pt idx="38">
                  <c:v>1070812.34965693</c:v>
                </c:pt>
                <c:pt idx="39">
                  <c:v>1074926.16176608</c:v>
                </c:pt>
                <c:pt idx="40">
                  <c:v>1074300.1050334999</c:v>
                </c:pt>
                <c:pt idx="41">
                  <c:v>1082611.29406798</c:v>
                </c:pt>
                <c:pt idx="42">
                  <c:v>1080960.15294399</c:v>
                </c:pt>
                <c:pt idx="43">
                  <c:v>1061383.33966674</c:v>
                </c:pt>
                <c:pt idx="44">
                  <c:v>1074522.71808039</c:v>
                </c:pt>
                <c:pt idx="45">
                  <c:v>1090959.62302077</c:v>
                </c:pt>
                <c:pt idx="46">
                  <c:v>1089160.14868649</c:v>
                </c:pt>
                <c:pt idx="47">
                  <c:v>1090829.7465381699</c:v>
                </c:pt>
                <c:pt idx="48">
                  <c:v>1100973.0205669</c:v>
                </c:pt>
                <c:pt idx="49">
                  <c:v>1100495.2970446099</c:v>
                </c:pt>
                <c:pt idx="50">
                  <c:v>1107925.3188711</c:v>
                </c:pt>
                <c:pt idx="51">
                  <c:v>1105569.1986881399</c:v>
                </c:pt>
                <c:pt idx="52">
                  <c:v>1091344.6099787699</c:v>
                </c:pt>
                <c:pt idx="53">
                  <c:v>1100857.0715536701</c:v>
                </c:pt>
                <c:pt idx="54">
                  <c:v>1104669.4615209999</c:v>
                </c:pt>
                <c:pt idx="55">
                  <c:v>1099085.3389266599</c:v>
                </c:pt>
                <c:pt idx="56">
                  <c:v>1091390.9216451801</c:v>
                </c:pt>
                <c:pt idx="57">
                  <c:v>1092745.2831171399</c:v>
                </c:pt>
                <c:pt idx="58">
                  <c:v>1120007.2286962899</c:v>
                </c:pt>
                <c:pt idx="59">
                  <c:v>1119390.34371182</c:v>
                </c:pt>
                <c:pt idx="60">
                  <c:v>1114126.2132184501</c:v>
                </c:pt>
                <c:pt idx="61">
                  <c:v>1115202.25176607</c:v>
                </c:pt>
                <c:pt idx="62">
                  <c:v>1112656.0159647199</c:v>
                </c:pt>
                <c:pt idx="63">
                  <c:v>1119265.1097190101</c:v>
                </c:pt>
                <c:pt idx="64">
                  <c:v>1128596.6274236599</c:v>
                </c:pt>
                <c:pt idx="65">
                  <c:v>1125438.2623590999</c:v>
                </c:pt>
                <c:pt idx="66">
                  <c:v>1112943.5106371799</c:v>
                </c:pt>
                <c:pt idx="67">
                  <c:v>1117813.36919298</c:v>
                </c:pt>
                <c:pt idx="68">
                  <c:v>1130600.25807713</c:v>
                </c:pt>
                <c:pt idx="69">
                  <c:v>1121240.88543376</c:v>
                </c:pt>
                <c:pt idx="70">
                  <c:v>1119483.08027612</c:v>
                </c:pt>
                <c:pt idx="71">
                  <c:v>1135484.0441022899</c:v>
                </c:pt>
                <c:pt idx="72">
                  <c:v>1132789.3618592001</c:v>
                </c:pt>
                <c:pt idx="73">
                  <c:v>1131968.4337869899</c:v>
                </c:pt>
                <c:pt idx="74">
                  <c:v>1122400.3755661</c:v>
                </c:pt>
                <c:pt idx="75">
                  <c:v>1131439.7561084901</c:v>
                </c:pt>
                <c:pt idx="76">
                  <c:v>1137742.78523117</c:v>
                </c:pt>
                <c:pt idx="77">
                  <c:v>1148637.3499853001</c:v>
                </c:pt>
                <c:pt idx="78">
                  <c:v>1149217.09505146</c:v>
                </c:pt>
                <c:pt idx="79">
                  <c:v>1149945.17332792</c:v>
                </c:pt>
                <c:pt idx="80">
                  <c:v>1146258.0173533999</c:v>
                </c:pt>
                <c:pt idx="81">
                  <c:v>1142079.2103872199</c:v>
                </c:pt>
                <c:pt idx="82">
                  <c:v>1149666.96363503</c:v>
                </c:pt>
                <c:pt idx="83">
                  <c:v>1149680.8911043999</c:v>
                </c:pt>
                <c:pt idx="84">
                  <c:v>1148887.70473946</c:v>
                </c:pt>
                <c:pt idx="85">
                  <c:v>1141318.63468225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DE-417C-978E-D4B8CB83569A}"/>
            </c:ext>
          </c:extLst>
        </c:ser>
        <c:ser>
          <c:idx val="3"/>
          <c:order val="3"/>
          <c:tx>
            <c:strRef>
              <c:f>'Injected portfolio'!$AW$1</c:f>
              <c:strCache>
                <c:ptCount val="1"/>
                <c:pt idx="0">
                  <c:v>Blue-oex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'Injected portfolio'!$AS$2:$AS$87</c:f>
              <c:numCache>
                <c:formatCode>m/d/yyyy</c:formatCode>
                <c:ptCount val="86"/>
                <c:pt idx="0">
                  <c:v>45258</c:v>
                </c:pt>
                <c:pt idx="1">
                  <c:v>45259</c:v>
                </c:pt>
                <c:pt idx="2">
                  <c:v>45260</c:v>
                </c:pt>
                <c:pt idx="3">
                  <c:v>45261</c:v>
                </c:pt>
                <c:pt idx="4">
                  <c:v>45264</c:v>
                </c:pt>
                <c:pt idx="5">
                  <c:v>45265</c:v>
                </c:pt>
                <c:pt idx="6">
                  <c:v>45266</c:v>
                </c:pt>
                <c:pt idx="7">
                  <c:v>45267</c:v>
                </c:pt>
                <c:pt idx="8">
                  <c:v>45268</c:v>
                </c:pt>
                <c:pt idx="9">
                  <c:v>45271</c:v>
                </c:pt>
                <c:pt idx="10">
                  <c:v>45272</c:v>
                </c:pt>
                <c:pt idx="11">
                  <c:v>45273</c:v>
                </c:pt>
                <c:pt idx="12">
                  <c:v>45274</c:v>
                </c:pt>
                <c:pt idx="13">
                  <c:v>45275</c:v>
                </c:pt>
                <c:pt idx="14">
                  <c:v>45278</c:v>
                </c:pt>
                <c:pt idx="15">
                  <c:v>45279</c:v>
                </c:pt>
                <c:pt idx="16">
                  <c:v>45280</c:v>
                </c:pt>
                <c:pt idx="17">
                  <c:v>45281</c:v>
                </c:pt>
                <c:pt idx="18">
                  <c:v>45282</c:v>
                </c:pt>
                <c:pt idx="19">
                  <c:v>45286</c:v>
                </c:pt>
                <c:pt idx="20">
                  <c:v>45287</c:v>
                </c:pt>
                <c:pt idx="21">
                  <c:v>45288</c:v>
                </c:pt>
                <c:pt idx="22">
                  <c:v>45289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45299</c:v>
                </c:pt>
                <c:pt idx="28">
                  <c:v>45300</c:v>
                </c:pt>
                <c:pt idx="29">
                  <c:v>45301</c:v>
                </c:pt>
                <c:pt idx="30">
                  <c:v>45302</c:v>
                </c:pt>
                <c:pt idx="31">
                  <c:v>45303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45313</c:v>
                </c:pt>
                <c:pt idx="37">
                  <c:v>45314</c:v>
                </c:pt>
                <c:pt idx="38">
                  <c:v>45315</c:v>
                </c:pt>
                <c:pt idx="39">
                  <c:v>45316</c:v>
                </c:pt>
                <c:pt idx="40">
                  <c:v>45317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45334</c:v>
                </c:pt>
                <c:pt idx="52">
                  <c:v>45335</c:v>
                </c:pt>
                <c:pt idx="53">
                  <c:v>45336</c:v>
                </c:pt>
                <c:pt idx="54">
                  <c:v>45337</c:v>
                </c:pt>
                <c:pt idx="55">
                  <c:v>45338</c:v>
                </c:pt>
                <c:pt idx="56">
                  <c:v>45342</c:v>
                </c:pt>
                <c:pt idx="57">
                  <c:v>45343</c:v>
                </c:pt>
                <c:pt idx="58">
                  <c:v>45344</c:v>
                </c:pt>
                <c:pt idx="59">
                  <c:v>45345</c:v>
                </c:pt>
                <c:pt idx="60">
                  <c:v>45348</c:v>
                </c:pt>
                <c:pt idx="61">
                  <c:v>45349</c:v>
                </c:pt>
                <c:pt idx="62">
                  <c:v>45350</c:v>
                </c:pt>
                <c:pt idx="63">
                  <c:v>45351</c:v>
                </c:pt>
                <c:pt idx="64">
                  <c:v>45352</c:v>
                </c:pt>
                <c:pt idx="65">
                  <c:v>45355</c:v>
                </c:pt>
                <c:pt idx="66">
                  <c:v>45356</c:v>
                </c:pt>
                <c:pt idx="67">
                  <c:v>45357</c:v>
                </c:pt>
                <c:pt idx="68">
                  <c:v>45358</c:v>
                </c:pt>
                <c:pt idx="69">
                  <c:v>45359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45369</c:v>
                </c:pt>
                <c:pt idx="76">
                  <c:v>45370</c:v>
                </c:pt>
                <c:pt idx="77">
                  <c:v>45371</c:v>
                </c:pt>
                <c:pt idx="78">
                  <c:v>45372</c:v>
                </c:pt>
                <c:pt idx="79">
                  <c:v>45373</c:v>
                </c:pt>
                <c:pt idx="80">
                  <c:v>45376</c:v>
                </c:pt>
                <c:pt idx="81">
                  <c:v>45377</c:v>
                </c:pt>
                <c:pt idx="82">
                  <c:v>45378</c:v>
                </c:pt>
                <c:pt idx="83">
                  <c:v>45379</c:v>
                </c:pt>
                <c:pt idx="84">
                  <c:v>45383</c:v>
                </c:pt>
                <c:pt idx="85">
                  <c:v>45384</c:v>
                </c:pt>
              </c:numCache>
            </c:numRef>
          </c:cat>
          <c:val>
            <c:numRef>
              <c:f>'Injected portfolio'!$AW$2:$AW$87</c:f>
              <c:numCache>
                <c:formatCode>General</c:formatCode>
                <c:ptCount val="86"/>
                <c:pt idx="0">
                  <c:v>-1.0477378964424133E-9</c:v>
                </c:pt>
                <c:pt idx="1">
                  <c:v>3110.134474268998</c:v>
                </c:pt>
                <c:pt idx="2">
                  <c:v>10981.181943122065</c:v>
                </c:pt>
                <c:pt idx="3">
                  <c:v>14215.987201699987</c:v>
                </c:pt>
                <c:pt idx="4">
                  <c:v>28909.855973321013</c:v>
                </c:pt>
                <c:pt idx="5">
                  <c:v>30305.085070961039</c:v>
                </c:pt>
                <c:pt idx="6">
                  <c:v>35857.418677991955</c:v>
                </c:pt>
                <c:pt idx="7">
                  <c:v>21785.975467539974</c:v>
                </c:pt>
                <c:pt idx="8">
                  <c:v>22856.20853196003</c:v>
                </c:pt>
                <c:pt idx="9">
                  <c:v>27822.981020090054</c:v>
                </c:pt>
                <c:pt idx="10">
                  <c:v>27747.168639070005</c:v>
                </c:pt>
                <c:pt idx="11">
                  <c:v>33081.627338210121</c:v>
                </c:pt>
                <c:pt idx="12">
                  <c:v>15358.94810788997</c:v>
                </c:pt>
                <c:pt idx="13">
                  <c:v>16255.66495542007</c:v>
                </c:pt>
                <c:pt idx="14">
                  <c:v>20011.578820919967</c:v>
                </c:pt>
                <c:pt idx="15">
                  <c:v>13608.352419489995</c:v>
                </c:pt>
                <c:pt idx="16">
                  <c:v>11229.246020990075</c:v>
                </c:pt>
                <c:pt idx="17">
                  <c:v>8981.2926105400547</c:v>
                </c:pt>
                <c:pt idx="18">
                  <c:v>16263.626744600013</c:v>
                </c:pt>
                <c:pt idx="19">
                  <c:v>16698.730835429975</c:v>
                </c:pt>
                <c:pt idx="20">
                  <c:v>23065.751887099934</c:v>
                </c:pt>
                <c:pt idx="21">
                  <c:v>25194.463390539982</c:v>
                </c:pt>
                <c:pt idx="22">
                  <c:v>28801.123418719973</c:v>
                </c:pt>
                <c:pt idx="23">
                  <c:v>44918.596812519943</c:v>
                </c:pt>
                <c:pt idx="24">
                  <c:v>56040.731281740125</c:v>
                </c:pt>
                <c:pt idx="25">
                  <c:v>66569.757379299961</c:v>
                </c:pt>
                <c:pt idx="26">
                  <c:v>62968.224196719937</c:v>
                </c:pt>
                <c:pt idx="27">
                  <c:v>55120.019081619917</c:v>
                </c:pt>
                <c:pt idx="28">
                  <c:v>51903.855297110043</c:v>
                </c:pt>
                <c:pt idx="29">
                  <c:v>46683.899916250026</c:v>
                </c:pt>
                <c:pt idx="30">
                  <c:v>47754.510514789959</c:v>
                </c:pt>
                <c:pt idx="31">
                  <c:v>61902.291155400104</c:v>
                </c:pt>
                <c:pt idx="32">
                  <c:v>58196.633350779884</c:v>
                </c:pt>
                <c:pt idx="33">
                  <c:v>61852.640928499866</c:v>
                </c:pt>
                <c:pt idx="34">
                  <c:v>53383.23855879996</c:v>
                </c:pt>
                <c:pt idx="35">
                  <c:v>48350.189162169816</c:v>
                </c:pt>
                <c:pt idx="36">
                  <c:v>51701.751952630002</c:v>
                </c:pt>
                <c:pt idx="37">
                  <c:v>48432.281518690055</c:v>
                </c:pt>
                <c:pt idx="38">
                  <c:v>50719.786598910112</c:v>
                </c:pt>
                <c:pt idx="39">
                  <c:v>69641.199681550032</c:v>
                </c:pt>
                <c:pt idx="40">
                  <c:v>73822.441265130183</c:v>
                </c:pt>
                <c:pt idx="41">
                  <c:v>70794.170522139873</c:v>
                </c:pt>
                <c:pt idx="42">
                  <c:v>79871.521834539948</c:v>
                </c:pt>
                <c:pt idx="43">
                  <c:v>88157.86506665987</c:v>
                </c:pt>
                <c:pt idx="44">
                  <c:v>97943.725055760005</c:v>
                </c:pt>
                <c:pt idx="45">
                  <c:v>85340.187746610027</c:v>
                </c:pt>
                <c:pt idx="46">
                  <c:v>95657.855948009994</c:v>
                </c:pt>
                <c:pt idx="47">
                  <c:v>92407.616208730033</c:v>
                </c:pt>
                <c:pt idx="48">
                  <c:v>81739.178279649932</c:v>
                </c:pt>
                <c:pt idx="49">
                  <c:v>87107.493241850054</c:v>
                </c:pt>
                <c:pt idx="50">
                  <c:v>79489.121658449993</c:v>
                </c:pt>
                <c:pt idx="51">
                  <c:v>82040.618857050082</c:v>
                </c:pt>
                <c:pt idx="52">
                  <c:v>89230.949395250063</c:v>
                </c:pt>
                <c:pt idx="53">
                  <c:v>88842.871663359925</c:v>
                </c:pt>
                <c:pt idx="54">
                  <c:v>93619.075092100073</c:v>
                </c:pt>
                <c:pt idx="55">
                  <c:v>106951.28273936012</c:v>
                </c:pt>
                <c:pt idx="56">
                  <c:v>102521.46069683996</c:v>
                </c:pt>
                <c:pt idx="57">
                  <c:v>95534.937420350034</c:v>
                </c:pt>
                <c:pt idx="58">
                  <c:v>89219.875744860154</c:v>
                </c:pt>
                <c:pt idx="59">
                  <c:v>96232.876322970027</c:v>
                </c:pt>
                <c:pt idx="60">
                  <c:v>95849.224503419828</c:v>
                </c:pt>
                <c:pt idx="61">
                  <c:v>88565.011337300064</c:v>
                </c:pt>
                <c:pt idx="62">
                  <c:v>90127.941900920123</c:v>
                </c:pt>
                <c:pt idx="63">
                  <c:v>75772.296921920031</c:v>
                </c:pt>
                <c:pt idx="64">
                  <c:v>82598.249430680182</c:v>
                </c:pt>
                <c:pt idx="65">
                  <c:v>91590.279760570033</c:v>
                </c:pt>
                <c:pt idx="66">
                  <c:v>95508.921618690016</c:v>
                </c:pt>
                <c:pt idx="67">
                  <c:v>101852.25111596007</c:v>
                </c:pt>
                <c:pt idx="68">
                  <c:v>90882.380242899992</c:v>
                </c:pt>
                <c:pt idx="69">
                  <c:v>78834.587655530078</c:v>
                </c:pt>
                <c:pt idx="70">
                  <c:v>68078.803981229896</c:v>
                </c:pt>
                <c:pt idx="71">
                  <c:v>70370.936094280099</c:v>
                </c:pt>
                <c:pt idx="72">
                  <c:v>72186.456057189964</c:v>
                </c:pt>
                <c:pt idx="73">
                  <c:v>65787.835146869998</c:v>
                </c:pt>
                <c:pt idx="74">
                  <c:v>70641.19643933</c:v>
                </c:pt>
                <c:pt idx="75">
                  <c:v>68122.773746429943</c:v>
                </c:pt>
                <c:pt idx="76">
                  <c:v>69954.38220255007</c:v>
                </c:pt>
                <c:pt idx="77">
                  <c:v>68806.319650249789</c:v>
                </c:pt>
                <c:pt idx="78">
                  <c:v>65501.569589470048</c:v>
                </c:pt>
                <c:pt idx="79">
                  <c:v>60813.911503829993</c:v>
                </c:pt>
                <c:pt idx="80">
                  <c:v>63744.663655490149</c:v>
                </c:pt>
                <c:pt idx="81">
                  <c:v>68700.156175479991</c:v>
                </c:pt>
                <c:pt idx="82">
                  <c:v>80852.191902579973</c:v>
                </c:pt>
                <c:pt idx="83">
                  <c:v>82215.255796420155</c:v>
                </c:pt>
                <c:pt idx="84">
                  <c:v>79940.162171150092</c:v>
                </c:pt>
                <c:pt idx="85">
                  <c:v>82522.194462570129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F-4B58-8572-2A81D4959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475376"/>
        <c:axId val="1233476624"/>
      </c:lineChart>
      <c:dateAx>
        <c:axId val="123347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76624"/>
        <c:crosses val="autoZero"/>
        <c:auto val="1"/>
        <c:lblOffset val="100"/>
        <c:baseTimeUnit val="days"/>
      </c:dateAx>
      <c:valAx>
        <c:axId val="1233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7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</xdr:colOff>
      <xdr:row>0</xdr:row>
      <xdr:rowOff>0</xdr:rowOff>
    </xdr:from>
    <xdr:to>
      <xdr:col>26</xdr:col>
      <xdr:colOff>525780</xdr:colOff>
      <xdr:row>24</xdr:row>
      <xdr:rowOff>144780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2F0C8030-A51A-97E1-1FE4-3FC755F79D96}"/>
            </a:ext>
          </a:extLst>
        </xdr:cNvPr>
        <xdr:cNvGrpSpPr/>
      </xdr:nvGrpSpPr>
      <xdr:grpSpPr>
        <a:xfrm>
          <a:off x="14831753" y="0"/>
          <a:ext cx="7647709" cy="4589780"/>
          <a:chOff x="9456420" y="0"/>
          <a:chExt cx="11155680" cy="45339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3878EA0E-4C68-7EDB-9B61-76061620E126}"/>
              </a:ext>
            </a:extLst>
          </xdr:cNvPr>
          <xdr:cNvGraphicFramePr/>
        </xdr:nvGraphicFramePr>
        <xdr:xfrm>
          <a:off x="9456420" y="0"/>
          <a:ext cx="11155680" cy="4533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62E3DC9A-A8DA-463A-81AB-D777F4044A97}"/>
              </a:ext>
            </a:extLst>
          </xdr:cNvPr>
          <xdr:cNvCxnSpPr/>
        </xdr:nvCxnSpPr>
        <xdr:spPr>
          <a:xfrm flipV="1">
            <a:off x="10370283" y="1173529"/>
            <a:ext cx="0" cy="2537460"/>
          </a:xfrm>
          <a:prstGeom prst="line">
            <a:avLst/>
          </a:prstGeom>
          <a:ln w="158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220980</xdr:colOff>
      <xdr:row>22</xdr:row>
      <xdr:rowOff>152400</xdr:rowOff>
    </xdr:from>
    <xdr:to>
      <xdr:col>18</xdr:col>
      <xdr:colOff>464820</xdr:colOff>
      <xdr:row>24</xdr:row>
      <xdr:rowOff>53340</xdr:rowOff>
    </xdr:to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27396219-9430-E467-C375-BEBCDAB2FA53}"/>
            </a:ext>
          </a:extLst>
        </xdr:cNvPr>
        <xdr:cNvSpPr txBox="1"/>
      </xdr:nvSpPr>
      <xdr:spPr>
        <a:xfrm>
          <a:off x="9906000" y="4191000"/>
          <a:ext cx="206502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Portfolio Date:</a:t>
          </a:r>
          <a:r>
            <a:rPr lang="en-US" altLang="zh-CN" sz="1100" baseline="0"/>
            <a:t> Monthly update</a:t>
          </a:r>
          <a:endParaRPr lang="zh-CN" altLang="en-US" sz="1100"/>
        </a:p>
      </xdr:txBody>
    </xdr:sp>
    <xdr:clientData/>
  </xdr:twoCellAnchor>
  <xdr:twoCellAnchor>
    <xdr:from>
      <xdr:col>23</xdr:col>
      <xdr:colOff>297180</xdr:colOff>
      <xdr:row>23</xdr:row>
      <xdr:rowOff>0</xdr:rowOff>
    </xdr:from>
    <xdr:to>
      <xdr:col>26</xdr:col>
      <xdr:colOff>160020</xdr:colOff>
      <xdr:row>24</xdr:row>
      <xdr:rowOff>83820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68AF5068-2AC6-4A7F-A0D9-C9E647366807}"/>
            </a:ext>
          </a:extLst>
        </xdr:cNvPr>
        <xdr:cNvSpPr txBox="1"/>
      </xdr:nvSpPr>
      <xdr:spPr>
        <a:xfrm>
          <a:off x="14813280" y="4221480"/>
          <a:ext cx="166878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aseline="0"/>
            <a:t>Dennis Hu 05/21/2024</a:t>
          </a:r>
          <a:endParaRPr lang="zh-CN" altLang="en-US" sz="1100"/>
        </a:p>
      </xdr:txBody>
    </xdr:sp>
    <xdr:clientData/>
  </xdr:twoCellAnchor>
  <xdr:twoCellAnchor>
    <xdr:from>
      <xdr:col>15</xdr:col>
      <xdr:colOff>505460</xdr:colOff>
      <xdr:row>29</xdr:row>
      <xdr:rowOff>77470</xdr:rowOff>
    </xdr:from>
    <xdr:to>
      <xdr:col>17</xdr:col>
      <xdr:colOff>520700</xdr:colOff>
      <xdr:row>32</xdr:row>
      <xdr:rowOff>161290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687021C-E239-734A-F8EA-AAD60EE31D49}"/>
            </a:ext>
          </a:extLst>
        </xdr:cNvPr>
        <xdr:cNvSpPr/>
      </xdr:nvSpPr>
      <xdr:spPr>
        <a:xfrm>
          <a:off x="9693910" y="5430520"/>
          <a:ext cx="1247140" cy="636270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S&amp;P</a:t>
          </a:r>
          <a:r>
            <a:rPr lang="en-US" altLang="zh-CN" sz="1400" baseline="0">
              <a:solidFill>
                <a:srgbClr val="FF0000"/>
              </a:solidFill>
            </a:rPr>
            <a:t> 100</a:t>
          </a:r>
          <a:r>
            <a:rPr lang="en-US" altLang="zh-CN" sz="1400"/>
            <a:t>D</a:t>
          </a:r>
          <a:endParaRPr lang="zh-CN" altLang="en-US" sz="1400"/>
        </a:p>
      </xdr:txBody>
    </xdr:sp>
    <xdr:clientData/>
  </xdr:twoCellAnchor>
  <xdr:twoCellAnchor>
    <xdr:from>
      <xdr:col>17</xdr:col>
      <xdr:colOff>562610</xdr:colOff>
      <xdr:row>28</xdr:row>
      <xdr:rowOff>124460</xdr:rowOff>
    </xdr:from>
    <xdr:to>
      <xdr:col>21</xdr:col>
      <xdr:colOff>381000</xdr:colOff>
      <xdr:row>42</xdr:row>
      <xdr:rowOff>31750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7B9E7FA-721B-43BD-A82E-B47D70B56447}"/>
            </a:ext>
          </a:extLst>
        </xdr:cNvPr>
        <xdr:cNvSpPr/>
      </xdr:nvSpPr>
      <xdr:spPr>
        <a:xfrm>
          <a:off x="10982960" y="5293360"/>
          <a:ext cx="3260090" cy="248539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Preselection: K-Means=7 1. Run K-Means for R=1-1000. 2. Measure DB index for each of 1000 clusters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Take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the best 5 clusters that give the lowest DB index. 4. Collect all the preselected stocks of those 5 best trials. 5. Choose the most common 22 stocks as preselection for MVO 2.0</a:t>
          </a:r>
          <a:endParaRPr lang="en-US" sz="1400">
            <a:solidFill>
              <a:srgbClr val="FF0000"/>
            </a:solidFill>
            <a:effectLst/>
          </a:endParaRPr>
        </a:p>
        <a:p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6. The order of 22 stocks is determined from most common to least common for the 5 lowest clusters alphabetized within each frequency.</a:t>
          </a:r>
          <a:endParaRPr lang="en-US" sz="14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23</xdr:col>
      <xdr:colOff>371071</xdr:colOff>
      <xdr:row>6</xdr:row>
      <xdr:rowOff>46182</xdr:rowOff>
    </xdr:from>
    <xdr:to>
      <xdr:col>23</xdr:col>
      <xdr:colOff>371071</xdr:colOff>
      <xdr:row>20</xdr:row>
      <xdr:rowOff>17189</xdr:rowOff>
    </xdr:to>
    <xdr:cxnSp macro="">
      <xdr:nvCxnSpPr>
        <xdr:cNvPr id="6" name="直接连接符 4">
          <a:extLst>
            <a:ext uri="{FF2B5EF4-FFF2-40B4-BE49-F238E27FC236}">
              <a16:creationId xmlns:a16="http://schemas.microsoft.com/office/drawing/2014/main" id="{28B47459-80CC-44F2-A742-281C640640A4}"/>
            </a:ext>
          </a:extLst>
        </xdr:cNvPr>
        <xdr:cNvCxnSpPr/>
      </xdr:nvCxnSpPr>
      <xdr:spPr>
        <a:xfrm flipV="1">
          <a:off x="19115116" y="1154546"/>
          <a:ext cx="0" cy="2568734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376844</xdr:colOff>
      <xdr:row>6</xdr:row>
      <xdr:rowOff>46182</xdr:rowOff>
    </xdr:from>
    <xdr:to>
      <xdr:col>20</xdr:col>
      <xdr:colOff>376844</xdr:colOff>
      <xdr:row>20</xdr:row>
      <xdr:rowOff>17189</xdr:rowOff>
    </xdr:to>
    <xdr:cxnSp macro="">
      <xdr:nvCxnSpPr>
        <xdr:cNvPr id="7" name="直接连接符 4">
          <a:extLst>
            <a:ext uri="{FF2B5EF4-FFF2-40B4-BE49-F238E27FC236}">
              <a16:creationId xmlns:a16="http://schemas.microsoft.com/office/drawing/2014/main" id="{2E32C07D-F4FC-4B70-B88F-080C2AABD6FA}"/>
            </a:ext>
          </a:extLst>
        </xdr:cNvPr>
        <xdr:cNvCxnSpPr/>
      </xdr:nvCxnSpPr>
      <xdr:spPr>
        <a:xfrm flipV="1">
          <a:off x="17267844" y="1154546"/>
          <a:ext cx="0" cy="2568734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215900</xdr:colOff>
      <xdr:row>2</xdr:row>
      <xdr:rowOff>171450</xdr:rowOff>
    </xdr:from>
    <xdr:to>
      <xdr:col>43</xdr:col>
      <xdr:colOff>457200</xdr:colOff>
      <xdr:row>27</xdr:row>
      <xdr:rowOff>119380</xdr:rowOff>
    </xdr:to>
    <xdr:graphicFrame macro="">
      <xdr:nvGraphicFramePr>
        <xdr:cNvPr id="8" name="图表 2">
          <a:extLst>
            <a:ext uri="{FF2B5EF4-FFF2-40B4-BE49-F238E27FC236}">
              <a16:creationId xmlns:a16="http://schemas.microsoft.com/office/drawing/2014/main" id="{A9B9765B-06A1-424A-983B-5EAB5E1E3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59460</xdr:colOff>
      <xdr:row>1</xdr:row>
      <xdr:rowOff>52532</xdr:rowOff>
    </xdr:from>
    <xdr:to>
      <xdr:col>62</xdr:col>
      <xdr:colOff>300760</xdr:colOff>
      <xdr:row>26</xdr:row>
      <xdr:rowOff>13162</xdr:rowOff>
    </xdr:to>
    <xdr:graphicFrame macro="">
      <xdr:nvGraphicFramePr>
        <xdr:cNvPr id="9" name="图表 2">
          <a:extLst>
            <a:ext uri="{FF2B5EF4-FFF2-40B4-BE49-F238E27FC236}">
              <a16:creationId xmlns:a16="http://schemas.microsoft.com/office/drawing/2014/main" id="{50405BE4-5EB0-4950-A8A6-AFCD2F480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40409</xdr:colOff>
      <xdr:row>4</xdr:row>
      <xdr:rowOff>17318</xdr:rowOff>
    </xdr:from>
    <xdr:to>
      <xdr:col>53</xdr:col>
      <xdr:colOff>295794</xdr:colOff>
      <xdr:row>5</xdr:row>
      <xdr:rowOff>102986</xdr:rowOff>
    </xdr:to>
    <xdr:sp macro="" textlink="">
      <xdr:nvSpPr>
        <xdr:cNvPr id="13" name="文本框 10">
          <a:extLst>
            <a:ext uri="{FF2B5EF4-FFF2-40B4-BE49-F238E27FC236}">
              <a16:creationId xmlns:a16="http://schemas.microsoft.com/office/drawing/2014/main" id="{5A25705B-3DA7-4693-A8B3-018C8EFDBE5C}"/>
            </a:ext>
          </a:extLst>
        </xdr:cNvPr>
        <xdr:cNvSpPr txBox="1"/>
      </xdr:nvSpPr>
      <xdr:spPr>
        <a:xfrm>
          <a:off x="44865636" y="756227"/>
          <a:ext cx="2108431" cy="270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Portfolio Date:</a:t>
          </a:r>
          <a:r>
            <a:rPr lang="en-US" altLang="zh-CN" sz="1100" baseline="0"/>
            <a:t> Monthly update</a:t>
          </a:r>
          <a:endParaRPr lang="zh-CN" altLang="en-US" sz="1100"/>
        </a:p>
      </xdr:txBody>
    </xdr:sp>
    <xdr:clientData/>
  </xdr:twoCellAnchor>
  <xdr:twoCellAnchor>
    <xdr:from>
      <xdr:col>31</xdr:col>
      <xdr:colOff>323274</xdr:colOff>
      <xdr:row>25</xdr:row>
      <xdr:rowOff>178955</xdr:rowOff>
    </xdr:from>
    <xdr:to>
      <xdr:col>34</xdr:col>
      <xdr:colOff>369457</xdr:colOff>
      <xdr:row>27</xdr:row>
      <xdr:rowOff>68350</xdr:rowOff>
    </xdr:to>
    <xdr:sp macro="" textlink="">
      <xdr:nvSpPr>
        <xdr:cNvPr id="14" name="文本框 10">
          <a:extLst>
            <a:ext uri="{FF2B5EF4-FFF2-40B4-BE49-F238E27FC236}">
              <a16:creationId xmlns:a16="http://schemas.microsoft.com/office/drawing/2014/main" id="{BB561660-7921-4896-BB98-3F309F5BDABC}"/>
            </a:ext>
          </a:extLst>
        </xdr:cNvPr>
        <xdr:cNvSpPr txBox="1"/>
      </xdr:nvSpPr>
      <xdr:spPr>
        <a:xfrm>
          <a:off x="28453774" y="4808682"/>
          <a:ext cx="1899228" cy="270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Portfolio Date:</a:t>
          </a:r>
          <a:r>
            <a:rPr lang="en-US" altLang="zh-CN" sz="1100" baseline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11.28.2023</a:t>
          </a:r>
          <a:r>
            <a:rPr lang="en-US"/>
            <a:t> </a:t>
          </a:r>
          <a:endParaRPr lang="zh-CN" altLang="en-US" sz="1100"/>
        </a:p>
      </xdr:txBody>
    </xdr:sp>
    <xdr:clientData/>
  </xdr:twoCellAnchor>
  <xdr:twoCellAnchor>
    <xdr:from>
      <xdr:col>40</xdr:col>
      <xdr:colOff>386773</xdr:colOff>
      <xdr:row>26</xdr:row>
      <xdr:rowOff>17318</xdr:rowOff>
    </xdr:from>
    <xdr:to>
      <xdr:col>43</xdr:col>
      <xdr:colOff>249613</xdr:colOff>
      <xdr:row>27</xdr:row>
      <xdr:rowOff>89593</xdr:rowOff>
    </xdr:to>
    <xdr:sp macro="" textlink="">
      <xdr:nvSpPr>
        <xdr:cNvPr id="15" name="文本框 11">
          <a:extLst>
            <a:ext uri="{FF2B5EF4-FFF2-40B4-BE49-F238E27FC236}">
              <a16:creationId xmlns:a16="http://schemas.microsoft.com/office/drawing/2014/main" id="{57E95FC9-BDA3-4B9A-B8D0-C248F3565509}"/>
            </a:ext>
          </a:extLst>
        </xdr:cNvPr>
        <xdr:cNvSpPr txBox="1"/>
      </xdr:nvSpPr>
      <xdr:spPr>
        <a:xfrm>
          <a:off x="34076409" y="4831773"/>
          <a:ext cx="1715886" cy="268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aseline="0"/>
            <a:t>Dennis Hu 04/04/2024</a:t>
          </a:r>
          <a:endParaRPr lang="zh-CN" altLang="en-US" sz="1100"/>
        </a:p>
      </xdr:txBody>
    </xdr:sp>
    <xdr:clientData/>
  </xdr:twoCellAnchor>
  <xdr:twoCellAnchor>
    <xdr:from>
      <xdr:col>59</xdr:col>
      <xdr:colOff>167408</xdr:colOff>
      <xdr:row>4</xdr:row>
      <xdr:rowOff>86591</xdr:rowOff>
    </xdr:from>
    <xdr:to>
      <xdr:col>62</xdr:col>
      <xdr:colOff>30249</xdr:colOff>
      <xdr:row>5</xdr:row>
      <xdr:rowOff>170411</xdr:rowOff>
    </xdr:to>
    <xdr:sp macro="" textlink="">
      <xdr:nvSpPr>
        <xdr:cNvPr id="16" name="文本框 11">
          <a:extLst>
            <a:ext uri="{FF2B5EF4-FFF2-40B4-BE49-F238E27FC236}">
              <a16:creationId xmlns:a16="http://schemas.microsoft.com/office/drawing/2014/main" id="{90F523D4-2B91-4188-B926-DC356D3883DE}"/>
            </a:ext>
          </a:extLst>
        </xdr:cNvPr>
        <xdr:cNvSpPr txBox="1"/>
      </xdr:nvSpPr>
      <xdr:spPr>
        <a:xfrm>
          <a:off x="50551772" y="825500"/>
          <a:ext cx="1715886" cy="268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aseline="0"/>
            <a:t>Dennis Hu 04/04/2024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liqianhui\Library\Containers\com.microsoft.Excel\Data\Library\Application%20Support\Microsoft\5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cks-fw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42A-CA2D-43CF-A1CA-E8D3A058AE60}">
  <dimension ref="A1:AW2209"/>
  <sheetViews>
    <sheetView tabSelected="1" topLeftCell="A142" zoomScale="110" zoomScaleNormal="110" workbookViewId="0">
      <selection activeCell="G171" sqref="G171"/>
    </sheetView>
  </sheetViews>
  <sheetFormatPr defaultColWidth="8.81640625" defaultRowHeight="14.5"/>
  <cols>
    <col min="1" max="1" width="12.453125" customWidth="1"/>
    <col min="2" max="2" width="13.26953125" customWidth="1"/>
    <col min="3" max="3" width="11.36328125" customWidth="1"/>
    <col min="5" max="5" width="9.36328125" bestFit="1" customWidth="1"/>
    <col min="6" max="6" width="13.7265625" customWidth="1"/>
    <col min="7" max="7" width="18.453125" customWidth="1"/>
    <col min="8" max="8" width="19.08984375" customWidth="1"/>
    <col min="9" max="10" width="16" customWidth="1"/>
    <col min="11" max="11" width="11.6328125" style="1" bestFit="1" customWidth="1"/>
    <col min="12" max="12" width="15.26953125" customWidth="1"/>
    <col min="13" max="13" width="15.90625" style="9" customWidth="1"/>
    <col min="14" max="14" width="12.6328125" customWidth="1"/>
    <col min="15" max="15" width="8.81640625" style="5"/>
    <col min="18" max="18" width="17.81640625" customWidth="1"/>
    <col min="19" max="19" width="13.81640625" customWidth="1"/>
    <col min="28" max="28" width="18.26953125" style="1" customWidth="1"/>
    <col min="29" max="29" width="28.26953125" customWidth="1"/>
    <col min="30" max="30" width="18.90625" customWidth="1"/>
    <col min="31" max="31" width="14.08984375" style="12" customWidth="1"/>
    <col min="45" max="45" width="17.90625" style="1" customWidth="1"/>
    <col min="46" max="46" width="28.26953125" customWidth="1"/>
    <col min="47" max="47" width="30.453125" customWidth="1"/>
    <col min="48" max="48" width="18.90625" customWidth="1"/>
    <col min="49" max="49" width="19.54296875" customWidth="1"/>
  </cols>
  <sheetData>
    <row r="1" spans="1:49">
      <c r="A1" t="s">
        <v>33</v>
      </c>
      <c r="B1" t="s">
        <v>20</v>
      </c>
      <c r="C1" s="1" t="s">
        <v>2</v>
      </c>
      <c r="D1" s="1" t="s">
        <v>1</v>
      </c>
      <c r="E1" s="1" t="s">
        <v>4</v>
      </c>
      <c r="F1" s="1" t="s">
        <v>17</v>
      </c>
      <c r="G1" s="1" t="s">
        <v>18</v>
      </c>
      <c r="H1" s="1" t="s">
        <v>29</v>
      </c>
      <c r="I1" s="1" t="s">
        <v>30</v>
      </c>
      <c r="J1" s="1"/>
      <c r="K1" s="1" t="s">
        <v>13</v>
      </c>
      <c r="L1" s="2" t="s">
        <v>14</v>
      </c>
      <c r="M1" s="9" t="s">
        <v>15</v>
      </c>
      <c r="N1" s="3" t="s">
        <v>8</v>
      </c>
      <c r="O1" s="5" t="s">
        <v>9</v>
      </c>
      <c r="AB1" s="1" t="s">
        <v>13</v>
      </c>
      <c r="AC1" t="s">
        <v>34</v>
      </c>
      <c r="AD1" t="s">
        <v>15</v>
      </c>
      <c r="AE1" s="12" t="s">
        <v>8</v>
      </c>
      <c r="AS1" s="1" t="s">
        <v>13</v>
      </c>
      <c r="AT1" t="s">
        <v>38</v>
      </c>
      <c r="AU1" t="s">
        <v>39</v>
      </c>
      <c r="AV1" t="s">
        <v>15</v>
      </c>
      <c r="AW1" t="s">
        <v>44</v>
      </c>
    </row>
    <row r="2" spans="1:49">
      <c r="A2" s="1"/>
      <c r="C2" t="s">
        <v>3</v>
      </c>
      <c r="D2" t="s">
        <v>10</v>
      </c>
      <c r="E2">
        <v>0.17</v>
      </c>
      <c r="F2" s="11">
        <f>ROUND(F12*E2,0)</f>
        <v>170000</v>
      </c>
      <c r="G2">
        <f>ROUND(F2/H2,2)</f>
        <v>293.13</v>
      </c>
      <c r="H2">
        <f>ROUND(579.940002441406,2)</f>
        <v>579.94000000000005</v>
      </c>
      <c r="I2">
        <v>660.71868896484295</v>
      </c>
      <c r="K2" s="8">
        <v>45258</v>
      </c>
      <c r="L2" s="4">
        <v>999999.99999999895</v>
      </c>
      <c r="M2" s="9">
        <v>1000000</v>
      </c>
      <c r="N2" s="3">
        <f t="shared" ref="N2:N65" si="0">L2-M2</f>
        <v>-1.0477378964424133E-9</v>
      </c>
      <c r="O2" s="5">
        <f t="shared" ref="O2:O65" si="1">N2/M2</f>
        <v>-1.0477378964424134E-15</v>
      </c>
      <c r="AB2" s="8">
        <v>45258</v>
      </c>
      <c r="AC2">
        <v>999999.99999999895</v>
      </c>
      <c r="AD2">
        <v>1000000</v>
      </c>
      <c r="AE2" s="12">
        <f t="shared" ref="AE2:AE65" si="2">AC2-AD2</f>
        <v>-1.0477378964424133E-9</v>
      </c>
      <c r="AS2" s="8">
        <v>45258</v>
      </c>
      <c r="AT2">
        <v>999999.99999999895</v>
      </c>
      <c r="AU2">
        <v>999999.99999999895</v>
      </c>
      <c r="AV2">
        <v>1000000</v>
      </c>
      <c r="AW2">
        <f>AT2-AV2</f>
        <v>-1.0477378964424133E-9</v>
      </c>
    </row>
    <row r="3" spans="1:49">
      <c r="A3" s="1"/>
      <c r="D3" t="s">
        <v>21</v>
      </c>
      <c r="E3">
        <v>0.129304040751273</v>
      </c>
      <c r="F3" s="11">
        <f>ROUND(F12*E3,0)</f>
        <v>129304</v>
      </c>
      <c r="G3">
        <f t="shared" ref="G3:G8" si="3">ROUND(F3/H3,2)</f>
        <v>530.1</v>
      </c>
      <c r="H3">
        <v>243.92509460449199</v>
      </c>
      <c r="I3">
        <v>252.47967529296801</v>
      </c>
      <c r="K3" s="8">
        <v>45259</v>
      </c>
      <c r="L3" s="4">
        <v>1000600.92535977</v>
      </c>
      <c r="M3" s="9">
        <v>997490.79088550096</v>
      </c>
      <c r="N3" s="3">
        <f t="shared" si="0"/>
        <v>3110.134474268998</v>
      </c>
      <c r="O3" s="5">
        <f t="shared" si="1"/>
        <v>3.1179580831097631E-3</v>
      </c>
      <c r="AB3" s="8">
        <v>45259</v>
      </c>
      <c r="AC3">
        <v>1000600.92535977</v>
      </c>
      <c r="AD3">
        <v>997490.79088550096</v>
      </c>
      <c r="AE3" s="12">
        <f t="shared" si="2"/>
        <v>3110.134474268998</v>
      </c>
      <c r="AS3" s="8">
        <v>45259</v>
      </c>
      <c r="AT3">
        <v>1000600.92535977</v>
      </c>
      <c r="AU3">
        <v>1000600.92535977</v>
      </c>
      <c r="AV3">
        <v>997490.79088550096</v>
      </c>
      <c r="AW3">
        <f t="shared" ref="AW3:AW66" si="4">AT3-AV3</f>
        <v>3110.134474268998</v>
      </c>
    </row>
    <row r="4" spans="1:49">
      <c r="A4" s="1"/>
      <c r="D4" t="s">
        <v>22</v>
      </c>
      <c r="E4">
        <v>0.114353573549173</v>
      </c>
      <c r="F4" s="11">
        <f>ROUND(F12*E4,0)</f>
        <v>114354</v>
      </c>
      <c r="G4">
        <f t="shared" si="3"/>
        <v>1548.73</v>
      </c>
      <c r="H4">
        <v>73.837448120117102</v>
      </c>
      <c r="I4">
        <v>83.989997863769503</v>
      </c>
      <c r="K4" s="8">
        <v>45260</v>
      </c>
      <c r="L4" s="4">
        <v>1010294.65961184</v>
      </c>
      <c r="M4" s="9">
        <v>999313.47766871797</v>
      </c>
      <c r="N4" s="3">
        <f t="shared" si="0"/>
        <v>10981.181943122065</v>
      </c>
      <c r="O4" s="5">
        <f t="shared" si="1"/>
        <v>1.0988725948878309E-2</v>
      </c>
      <c r="AB4" s="8">
        <v>45260</v>
      </c>
      <c r="AC4">
        <v>1010294.65961184</v>
      </c>
      <c r="AD4">
        <v>999313.47766871797</v>
      </c>
      <c r="AE4" s="12">
        <f t="shared" si="2"/>
        <v>10981.181943122065</v>
      </c>
      <c r="AS4" s="8">
        <v>45260</v>
      </c>
      <c r="AT4">
        <v>1010294.65961184</v>
      </c>
      <c r="AU4">
        <v>1010294.65961184</v>
      </c>
      <c r="AV4">
        <v>999313.47766871797</v>
      </c>
      <c r="AW4">
        <f t="shared" si="4"/>
        <v>10981.181943122065</v>
      </c>
    </row>
    <row r="5" spans="1:49">
      <c r="A5" s="1"/>
      <c r="D5" t="s">
        <v>23</v>
      </c>
      <c r="E5">
        <v>0.17</v>
      </c>
      <c r="F5" s="11">
        <f>ROUND(F12*E5,0)</f>
        <v>170000</v>
      </c>
      <c r="G5">
        <f t="shared" si="3"/>
        <v>1102.1500000000001</v>
      </c>
      <c r="H5">
        <v>154.24377441406199</v>
      </c>
      <c r="I5">
        <v>159.68417358398401</v>
      </c>
      <c r="K5" s="8">
        <v>45261</v>
      </c>
      <c r="L5" s="4">
        <v>1015913.4399921</v>
      </c>
      <c r="M5" s="9">
        <v>1001697.4527904</v>
      </c>
      <c r="N5" s="3">
        <f t="shared" si="0"/>
        <v>14215.987201699987</v>
      </c>
      <c r="O5" s="5">
        <f t="shared" si="1"/>
        <v>1.4191897126321842E-2</v>
      </c>
      <c r="AB5" s="8">
        <v>45261</v>
      </c>
      <c r="AC5">
        <v>1015913.4399921</v>
      </c>
      <c r="AD5">
        <v>1001697.4527904</v>
      </c>
      <c r="AE5" s="12">
        <f t="shared" si="2"/>
        <v>14215.987201699987</v>
      </c>
      <c r="AS5" s="8">
        <v>45261</v>
      </c>
      <c r="AT5">
        <v>1015913.4399921</v>
      </c>
      <c r="AU5">
        <v>1015913.4399921</v>
      </c>
      <c r="AV5">
        <v>1001697.4527904</v>
      </c>
      <c r="AW5">
        <f t="shared" si="4"/>
        <v>14215.987201699987</v>
      </c>
    </row>
    <row r="6" spans="1:49">
      <c r="A6" s="1"/>
      <c r="D6" t="s">
        <v>0</v>
      </c>
      <c r="E6">
        <v>0.17</v>
      </c>
      <c r="F6" s="11">
        <f>ROUND(F12*E6,0)</f>
        <v>170000</v>
      </c>
      <c r="G6">
        <f t="shared" si="3"/>
        <v>287.86</v>
      </c>
      <c r="H6">
        <v>590.56481933593705</v>
      </c>
      <c r="I6">
        <v>624.93463134765602</v>
      </c>
      <c r="K6" s="8">
        <v>45264</v>
      </c>
      <c r="L6" s="4">
        <v>1023325.73337898</v>
      </c>
      <c r="M6" s="9">
        <v>994415.87740565895</v>
      </c>
      <c r="N6" s="3">
        <f t="shared" si="0"/>
        <v>28909.855973321013</v>
      </c>
      <c r="O6" s="5">
        <f t="shared" si="1"/>
        <v>2.907219869492049E-2</v>
      </c>
      <c r="AB6" s="8">
        <v>45264</v>
      </c>
      <c r="AC6">
        <v>1023325.73337898</v>
      </c>
      <c r="AD6">
        <v>994415.87740565895</v>
      </c>
      <c r="AE6" s="12">
        <f t="shared" si="2"/>
        <v>28909.855973321013</v>
      </c>
      <c r="AS6" s="8">
        <v>45264</v>
      </c>
      <c r="AT6">
        <v>1023325.73337898</v>
      </c>
      <c r="AU6">
        <v>1023325.73337898</v>
      </c>
      <c r="AV6">
        <v>994415.87740565895</v>
      </c>
      <c r="AW6">
        <f t="shared" si="4"/>
        <v>28909.855973321013</v>
      </c>
    </row>
    <row r="7" spans="1:49">
      <c r="A7" s="1"/>
      <c r="D7" t="s">
        <v>16</v>
      </c>
      <c r="E7">
        <v>7.6342385699553095E-2</v>
      </c>
      <c r="F7" s="11">
        <f>ROUND(F12*E7,0)</f>
        <v>76342</v>
      </c>
      <c r="G7">
        <f t="shared" si="3"/>
        <v>1075.0899999999999</v>
      </c>
      <c r="H7">
        <v>71.009590148925696</v>
      </c>
      <c r="I7">
        <v>73.709999084472599</v>
      </c>
      <c r="K7" s="8">
        <v>45265</v>
      </c>
      <c r="L7" s="4">
        <v>1027902.53999012</v>
      </c>
      <c r="M7" s="9">
        <v>997597.45491915895</v>
      </c>
      <c r="N7" s="3">
        <f t="shared" si="0"/>
        <v>30305.085070961039</v>
      </c>
      <c r="O7" s="5">
        <f t="shared" si="1"/>
        <v>3.0378069753011584E-2</v>
      </c>
      <c r="AB7" s="8">
        <v>45265</v>
      </c>
      <c r="AC7">
        <v>1027902.53999012</v>
      </c>
      <c r="AD7">
        <v>997597.45491915895</v>
      </c>
      <c r="AE7" s="12">
        <f t="shared" si="2"/>
        <v>30305.085070961039</v>
      </c>
      <c r="AS7" s="8">
        <v>45265</v>
      </c>
      <c r="AT7">
        <v>1027902.53999012</v>
      </c>
      <c r="AU7">
        <v>1027902.53999012</v>
      </c>
      <c r="AV7">
        <v>997597.45491915895</v>
      </c>
      <c r="AW7">
        <f t="shared" si="4"/>
        <v>30305.085070961039</v>
      </c>
    </row>
    <row r="8" spans="1:49">
      <c r="A8" s="1"/>
      <c r="D8" t="s">
        <v>24</v>
      </c>
      <c r="E8">
        <v>0.17</v>
      </c>
      <c r="F8" s="11">
        <f>ROUND(F12*E8,0)</f>
        <v>170000</v>
      </c>
      <c r="G8">
        <f t="shared" si="3"/>
        <v>1709.23</v>
      </c>
      <c r="H8">
        <v>99.459823608398395</v>
      </c>
      <c r="I8">
        <v>117.379997253417</v>
      </c>
      <c r="K8" s="8">
        <v>45266</v>
      </c>
      <c r="L8" s="4">
        <v>1028316.09032805</v>
      </c>
      <c r="M8" s="9">
        <v>992458.67165005801</v>
      </c>
      <c r="N8" s="3">
        <f t="shared" si="0"/>
        <v>35857.418677991955</v>
      </c>
      <c r="O8" s="5">
        <f t="shared" si="1"/>
        <v>3.6129886011651798E-2</v>
      </c>
      <c r="AB8" s="8">
        <v>45266</v>
      </c>
      <c r="AC8">
        <v>1028316.09032805</v>
      </c>
      <c r="AD8">
        <v>992458.67165005801</v>
      </c>
      <c r="AE8" s="12">
        <f t="shared" si="2"/>
        <v>35857.418677991955</v>
      </c>
      <c r="AS8" s="8">
        <v>45266</v>
      </c>
      <c r="AT8">
        <v>1028316.09032805</v>
      </c>
      <c r="AU8">
        <v>1028316.09032805</v>
      </c>
      <c r="AV8">
        <v>992458.67165005801</v>
      </c>
      <c r="AW8">
        <f t="shared" si="4"/>
        <v>35857.418677991955</v>
      </c>
    </row>
    <row r="9" spans="1:49">
      <c r="A9" s="1"/>
      <c r="K9" s="8">
        <v>45267</v>
      </c>
      <c r="L9" s="4">
        <v>1024095.67075262</v>
      </c>
      <c r="M9" s="9">
        <v>1002309.69528508</v>
      </c>
      <c r="N9" s="3">
        <f t="shared" si="0"/>
        <v>21785.975467539974</v>
      </c>
      <c r="O9" s="5">
        <f t="shared" si="1"/>
        <v>2.1735772456379903E-2</v>
      </c>
      <c r="AB9" s="8">
        <v>45267</v>
      </c>
      <c r="AC9">
        <v>1024095.67075262</v>
      </c>
      <c r="AD9">
        <v>1002309.69528508</v>
      </c>
      <c r="AE9" s="12">
        <f t="shared" si="2"/>
        <v>21785.975467539974</v>
      </c>
      <c r="AS9" s="8">
        <v>45267</v>
      </c>
      <c r="AT9">
        <v>1024095.67075262</v>
      </c>
      <c r="AU9">
        <v>1024095.67075262</v>
      </c>
      <c r="AV9">
        <v>1002309.69528508</v>
      </c>
      <c r="AW9">
        <f t="shared" si="4"/>
        <v>21785.975467539974</v>
      </c>
    </row>
    <row r="10" spans="1:49">
      <c r="A10" s="1"/>
      <c r="K10" s="8">
        <v>45268</v>
      </c>
      <c r="L10" s="4">
        <v>1029891.95842088</v>
      </c>
      <c r="M10" s="9">
        <v>1007035.74988892</v>
      </c>
      <c r="N10" s="3">
        <f t="shared" si="0"/>
        <v>22856.20853196003</v>
      </c>
      <c r="O10" s="5">
        <f t="shared" si="1"/>
        <v>2.2696521483453948E-2</v>
      </c>
      <c r="AB10" s="8">
        <v>45268</v>
      </c>
      <c r="AC10">
        <v>1029891.95842088</v>
      </c>
      <c r="AD10">
        <v>1007035.74988892</v>
      </c>
      <c r="AE10" s="12">
        <f t="shared" si="2"/>
        <v>22856.20853196003</v>
      </c>
      <c r="AS10" s="8">
        <v>45268</v>
      </c>
      <c r="AT10">
        <v>1029891.95842088</v>
      </c>
      <c r="AU10">
        <v>1029891.95842088</v>
      </c>
      <c r="AV10">
        <v>1007035.74988892</v>
      </c>
      <c r="AW10">
        <f t="shared" si="4"/>
        <v>22856.20853196003</v>
      </c>
    </row>
    <row r="11" spans="1:49">
      <c r="A11" s="1"/>
      <c r="K11" s="8">
        <v>45271</v>
      </c>
      <c r="L11" s="4">
        <v>1034770.6368345</v>
      </c>
      <c r="M11" s="9">
        <v>1006947.65581441</v>
      </c>
      <c r="N11" s="3">
        <f t="shared" si="0"/>
        <v>27822.981020090054</v>
      </c>
      <c r="O11" s="5">
        <f t="shared" si="1"/>
        <v>2.7631010270923254E-2</v>
      </c>
      <c r="AB11" s="8">
        <v>45271</v>
      </c>
      <c r="AC11">
        <v>1034770.6368345</v>
      </c>
      <c r="AD11">
        <v>1006947.65581441</v>
      </c>
      <c r="AE11" s="12">
        <f t="shared" si="2"/>
        <v>27822.981020090054</v>
      </c>
      <c r="AS11" s="8">
        <v>45271</v>
      </c>
      <c r="AT11">
        <v>1034770.6368345</v>
      </c>
      <c r="AU11">
        <v>1034770.6368345</v>
      </c>
      <c r="AV11">
        <v>1006947.65581441</v>
      </c>
      <c r="AW11">
        <f t="shared" si="4"/>
        <v>27822.981020090054</v>
      </c>
    </row>
    <row r="12" spans="1:49" ht="15.5">
      <c r="A12" s="1"/>
      <c r="D12" s="6" t="s">
        <v>11</v>
      </c>
      <c r="E12" s="7">
        <f>SUM(E2:E8)</f>
        <v>0.99999999999999922</v>
      </c>
      <c r="F12" s="6">
        <v>1000000</v>
      </c>
      <c r="I12">
        <v>1093359.9809996099</v>
      </c>
      <c r="K12" s="8">
        <v>45272</v>
      </c>
      <c r="L12" s="4">
        <v>1039972.76918475</v>
      </c>
      <c r="M12" s="9">
        <v>1012225.60054568</v>
      </c>
      <c r="N12" s="3">
        <f t="shared" si="0"/>
        <v>27747.168639070005</v>
      </c>
      <c r="O12" s="5">
        <f t="shared" si="1"/>
        <v>2.7412039988034091E-2</v>
      </c>
      <c r="AB12" s="8">
        <v>45272</v>
      </c>
      <c r="AC12">
        <v>1039972.76918475</v>
      </c>
      <c r="AD12">
        <v>1012225.60054568</v>
      </c>
      <c r="AE12" s="12">
        <f t="shared" si="2"/>
        <v>27747.168639070005</v>
      </c>
      <c r="AS12" s="8">
        <v>45272</v>
      </c>
      <c r="AT12">
        <v>1039972.76918475</v>
      </c>
      <c r="AU12">
        <v>1039972.76918475</v>
      </c>
      <c r="AV12">
        <v>1012225.60054568</v>
      </c>
      <c r="AW12">
        <f t="shared" si="4"/>
        <v>27747.168639070005</v>
      </c>
    </row>
    <row r="13" spans="1:49">
      <c r="A13" s="1"/>
      <c r="K13" s="8">
        <v>45273</v>
      </c>
      <c r="L13" s="4">
        <v>1056466.1880930001</v>
      </c>
      <c r="M13" s="9">
        <v>1023384.56075479</v>
      </c>
      <c r="N13" s="3">
        <f t="shared" si="0"/>
        <v>33081.627338210121</v>
      </c>
      <c r="O13" s="5">
        <f t="shared" si="1"/>
        <v>3.2325704927394061E-2</v>
      </c>
      <c r="AB13" s="8">
        <v>45273</v>
      </c>
      <c r="AC13">
        <v>1056466.1880930001</v>
      </c>
      <c r="AD13">
        <v>1023384.56075479</v>
      </c>
      <c r="AE13" s="12">
        <f t="shared" si="2"/>
        <v>33081.627338210121</v>
      </c>
      <c r="AS13" s="8">
        <v>45273</v>
      </c>
      <c r="AT13">
        <v>1056466.1880930001</v>
      </c>
      <c r="AU13">
        <v>1056466.1880930001</v>
      </c>
      <c r="AV13">
        <v>1023384.56075479</v>
      </c>
      <c r="AW13">
        <f t="shared" si="4"/>
        <v>33081.627338210121</v>
      </c>
    </row>
    <row r="14" spans="1:49">
      <c r="A14" s="1"/>
      <c r="K14" s="8">
        <v>45274</v>
      </c>
      <c r="L14" s="4">
        <v>1038924.33950148</v>
      </c>
      <c r="M14" s="9">
        <v>1023565.39139359</v>
      </c>
      <c r="N14" s="3">
        <f t="shared" si="0"/>
        <v>15358.94810788997</v>
      </c>
      <c r="O14" s="5">
        <f t="shared" si="1"/>
        <v>1.500534136561483E-2</v>
      </c>
      <c r="AB14" s="8">
        <v>45274</v>
      </c>
      <c r="AC14">
        <v>1038924.33950148</v>
      </c>
      <c r="AD14">
        <v>1023565.39139359</v>
      </c>
      <c r="AE14" s="12">
        <f t="shared" si="2"/>
        <v>15358.94810788997</v>
      </c>
      <c r="AS14" s="8">
        <v>45274</v>
      </c>
      <c r="AT14">
        <v>1038924.33950148</v>
      </c>
      <c r="AU14">
        <v>1038924.33950148</v>
      </c>
      <c r="AV14">
        <v>1023565.39139359</v>
      </c>
      <c r="AW14">
        <f t="shared" si="4"/>
        <v>15358.94810788997</v>
      </c>
    </row>
    <row r="15" spans="1:49">
      <c r="A15" s="1"/>
      <c r="K15" s="8">
        <v>45275</v>
      </c>
      <c r="L15" s="4">
        <v>1042914.65301946</v>
      </c>
      <c r="M15" s="9">
        <v>1026658.98806404</v>
      </c>
      <c r="N15" s="3">
        <f t="shared" si="0"/>
        <v>16255.66495542007</v>
      </c>
      <c r="O15" s="5">
        <f t="shared" si="1"/>
        <v>1.5833558313333627E-2</v>
      </c>
      <c r="AB15" s="8">
        <v>45275</v>
      </c>
      <c r="AC15">
        <v>1042914.65301946</v>
      </c>
      <c r="AD15">
        <v>1026658.98806404</v>
      </c>
      <c r="AE15" s="12">
        <f t="shared" si="2"/>
        <v>16255.66495542007</v>
      </c>
      <c r="AS15" s="8">
        <v>45275</v>
      </c>
      <c r="AT15">
        <v>1042914.65301946</v>
      </c>
      <c r="AU15">
        <v>1042914.65301946</v>
      </c>
      <c r="AV15">
        <v>1026658.98806404</v>
      </c>
      <c r="AW15">
        <f t="shared" si="4"/>
        <v>16255.66495542007</v>
      </c>
    </row>
    <row r="16" spans="1:49">
      <c r="A16" t="s">
        <v>31</v>
      </c>
      <c r="B16" t="s">
        <v>25</v>
      </c>
      <c r="C16" s="1" t="s">
        <v>2</v>
      </c>
      <c r="D16" s="1" t="s">
        <v>1</v>
      </c>
      <c r="E16" s="1" t="s">
        <v>4</v>
      </c>
      <c r="F16" s="1" t="s">
        <v>17</v>
      </c>
      <c r="G16" s="1" t="s">
        <v>18</v>
      </c>
      <c r="H16" s="1" t="s">
        <v>19</v>
      </c>
      <c r="I16" s="1" t="s">
        <v>27</v>
      </c>
      <c r="K16" s="8">
        <v>45278</v>
      </c>
      <c r="L16" s="4">
        <v>1052964.19779661</v>
      </c>
      <c r="M16" s="9">
        <v>1032952.61897569</v>
      </c>
      <c r="N16" s="3">
        <f t="shared" si="0"/>
        <v>20011.578820919967</v>
      </c>
      <c r="O16" s="5">
        <f t="shared" si="1"/>
        <v>1.9373181744545179E-2</v>
      </c>
      <c r="AB16" s="8">
        <v>45278</v>
      </c>
      <c r="AC16">
        <v>1052964.19779661</v>
      </c>
      <c r="AD16">
        <v>1032952.61897569</v>
      </c>
      <c r="AE16" s="12">
        <f t="shared" si="2"/>
        <v>20011.578820919967</v>
      </c>
      <c r="AS16" s="8">
        <v>45278</v>
      </c>
      <c r="AT16">
        <v>1052964.19779661</v>
      </c>
      <c r="AU16">
        <v>1052964.19779661</v>
      </c>
      <c r="AV16">
        <v>1032952.61897569</v>
      </c>
      <c r="AW16">
        <f t="shared" si="4"/>
        <v>20011.578820919967</v>
      </c>
    </row>
    <row r="17" spans="1:49">
      <c r="A17" s="1"/>
      <c r="C17" t="s">
        <v>3</v>
      </c>
      <c r="D17" t="s">
        <v>26</v>
      </c>
      <c r="E17">
        <v>0.17</v>
      </c>
      <c r="F17" s="11">
        <f>ROUND(F27*E17,0)</f>
        <v>185871</v>
      </c>
      <c r="G17">
        <f>ROUND(F17/H17,2)</f>
        <v>602.55999999999995</v>
      </c>
      <c r="H17">
        <v>308.46856689453102</v>
      </c>
      <c r="I17">
        <v>322.04244995117102</v>
      </c>
      <c r="K17" s="8">
        <v>45279</v>
      </c>
      <c r="L17" s="4">
        <v>1051968.9058405</v>
      </c>
      <c r="M17" s="9">
        <v>1038360.55342101</v>
      </c>
      <c r="N17" s="3">
        <f t="shared" si="0"/>
        <v>13608.352419489995</v>
      </c>
      <c r="O17" s="5">
        <f t="shared" si="1"/>
        <v>1.310561382041677E-2</v>
      </c>
      <c r="AB17" s="8">
        <v>45279</v>
      </c>
      <c r="AC17">
        <v>1051968.9058405</v>
      </c>
      <c r="AD17">
        <v>1038360.55342101</v>
      </c>
      <c r="AE17" s="12">
        <f t="shared" si="2"/>
        <v>13608.352419489995</v>
      </c>
      <c r="AS17" s="8">
        <v>45279</v>
      </c>
      <c r="AT17">
        <v>1051968.9058405</v>
      </c>
      <c r="AU17">
        <v>1051968.9058405</v>
      </c>
      <c r="AV17">
        <v>1038360.55342101</v>
      </c>
      <c r="AW17">
        <f t="shared" si="4"/>
        <v>13608.352419489995</v>
      </c>
    </row>
    <row r="18" spans="1:49">
      <c r="A18" s="1"/>
      <c r="D18" t="s">
        <v>10</v>
      </c>
      <c r="E18">
        <v>0.17</v>
      </c>
      <c r="F18" s="11">
        <f>ROUND(F27*E18,0)</f>
        <v>185871</v>
      </c>
      <c r="G18">
        <f t="shared" ref="G18:G23" si="5">ROUND(F18/H18,2)</f>
        <v>281.32</v>
      </c>
      <c r="H18">
        <v>660.71868896484295</v>
      </c>
      <c r="I18">
        <v>704.47998046875</v>
      </c>
      <c r="K18" s="8">
        <v>45280</v>
      </c>
      <c r="L18" s="4">
        <v>1035323.42832454</v>
      </c>
      <c r="M18" s="9">
        <v>1024094.18230355</v>
      </c>
      <c r="N18" s="3">
        <f t="shared" si="0"/>
        <v>11229.246020990075</v>
      </c>
      <c r="O18" s="5">
        <f t="shared" si="1"/>
        <v>1.0965052057742902E-2</v>
      </c>
      <c r="AB18" s="8">
        <v>45280</v>
      </c>
      <c r="AC18">
        <v>1035323.42832454</v>
      </c>
      <c r="AD18">
        <v>1024094.18230355</v>
      </c>
      <c r="AE18" s="12">
        <f t="shared" si="2"/>
        <v>11229.246020990075</v>
      </c>
      <c r="AS18" s="8">
        <v>45280</v>
      </c>
      <c r="AT18">
        <v>1035323.42832454</v>
      </c>
      <c r="AU18">
        <v>1035323.42832454</v>
      </c>
      <c r="AV18">
        <v>1024094.18230355</v>
      </c>
      <c r="AW18">
        <f t="shared" si="4"/>
        <v>11229.246020990075</v>
      </c>
    </row>
    <row r="19" spans="1:49">
      <c r="A19" s="1"/>
      <c r="D19" t="s">
        <v>21</v>
      </c>
      <c r="E19">
        <v>0.17</v>
      </c>
      <c r="F19" s="11">
        <f>ROUND(F27*E19,0)</f>
        <v>185871</v>
      </c>
      <c r="G19">
        <f t="shared" si="5"/>
        <v>736.18</v>
      </c>
      <c r="H19">
        <v>252.47967529296801</v>
      </c>
      <c r="I19">
        <v>266.86999511718699</v>
      </c>
      <c r="K19" s="8">
        <v>45281</v>
      </c>
      <c r="L19" s="4">
        <v>1042833.76198482</v>
      </c>
      <c r="M19" s="9">
        <v>1033852.46937428</v>
      </c>
      <c r="N19" s="3">
        <f t="shared" si="0"/>
        <v>8981.2926105400547</v>
      </c>
      <c r="O19" s="5">
        <f t="shared" si="1"/>
        <v>8.6872091295345216E-3</v>
      </c>
      <c r="AB19" s="8">
        <v>45281</v>
      </c>
      <c r="AC19">
        <v>1042833.76198482</v>
      </c>
      <c r="AD19">
        <v>1033852.46937428</v>
      </c>
      <c r="AE19" s="12">
        <f t="shared" si="2"/>
        <v>8981.2926105400547</v>
      </c>
      <c r="AS19" s="8">
        <v>45281</v>
      </c>
      <c r="AT19">
        <v>1042833.76198482</v>
      </c>
      <c r="AU19">
        <v>1042833.76198482</v>
      </c>
      <c r="AV19">
        <v>1033852.46937428</v>
      </c>
      <c r="AW19">
        <f t="shared" si="4"/>
        <v>8981.2926105400547</v>
      </c>
    </row>
    <row r="20" spans="1:49">
      <c r="A20" s="1"/>
      <c r="D20" t="s">
        <v>23</v>
      </c>
      <c r="E20">
        <v>0.17</v>
      </c>
      <c r="F20" s="11">
        <f>ROUND(F27*E20,0)</f>
        <v>185871</v>
      </c>
      <c r="G20">
        <f t="shared" si="5"/>
        <v>1163.99</v>
      </c>
      <c r="H20">
        <v>159.68417358398401</v>
      </c>
      <c r="I20">
        <v>185.21144104003901</v>
      </c>
      <c r="K20" s="8">
        <v>45282</v>
      </c>
      <c r="L20" s="4">
        <v>1050751.43783104</v>
      </c>
      <c r="M20" s="9">
        <v>1034487.81108644</v>
      </c>
      <c r="N20" s="3">
        <f t="shared" si="0"/>
        <v>16263.626744600013</v>
      </c>
      <c r="O20" s="5">
        <f t="shared" si="1"/>
        <v>1.5721429068864159E-2</v>
      </c>
      <c r="AB20" s="8">
        <v>45282</v>
      </c>
      <c r="AC20">
        <v>1050751.43783104</v>
      </c>
      <c r="AD20">
        <v>1034487.81108644</v>
      </c>
      <c r="AE20" s="12">
        <f t="shared" si="2"/>
        <v>16263.626744600013</v>
      </c>
      <c r="AS20" s="8">
        <v>45282</v>
      </c>
      <c r="AT20">
        <v>1050751.43783104</v>
      </c>
      <c r="AU20">
        <v>1050751.43783104</v>
      </c>
      <c r="AV20">
        <v>1034487.81108644</v>
      </c>
      <c r="AW20">
        <f t="shared" si="4"/>
        <v>16263.626744600013</v>
      </c>
    </row>
    <row r="21" spans="1:49">
      <c r="A21" s="1"/>
      <c r="D21" t="s">
        <v>0</v>
      </c>
      <c r="E21">
        <v>0.17</v>
      </c>
      <c r="F21" s="11">
        <f>ROUND(F27*E21,0)</f>
        <v>185871</v>
      </c>
      <c r="G21">
        <f t="shared" si="5"/>
        <v>297.42</v>
      </c>
      <c r="H21">
        <v>624.93463134765602</v>
      </c>
      <c r="I21">
        <v>659.2744140625</v>
      </c>
      <c r="K21" s="8">
        <v>45286</v>
      </c>
      <c r="L21" s="4">
        <v>1054841.31369934</v>
      </c>
      <c r="M21" s="9">
        <v>1038142.58286391</v>
      </c>
      <c r="N21" s="3">
        <f t="shared" si="0"/>
        <v>16698.730835429975</v>
      </c>
      <c r="O21" s="5">
        <f t="shared" si="1"/>
        <v>1.608519977030844E-2</v>
      </c>
      <c r="AB21" s="8">
        <v>45286</v>
      </c>
      <c r="AC21">
        <v>1054841.31369934</v>
      </c>
      <c r="AD21">
        <v>1038142.58286391</v>
      </c>
      <c r="AE21" s="12">
        <f t="shared" si="2"/>
        <v>16698.730835429975</v>
      </c>
      <c r="AS21" s="8">
        <v>45286</v>
      </c>
      <c r="AT21">
        <v>1054841.31369934</v>
      </c>
      <c r="AU21">
        <v>1054841.31369934</v>
      </c>
      <c r="AV21">
        <v>1038142.58286391</v>
      </c>
      <c r="AW21">
        <f t="shared" si="4"/>
        <v>16698.730835429975</v>
      </c>
    </row>
    <row r="22" spans="1:49">
      <c r="A22" s="1"/>
      <c r="D22" t="s">
        <v>16</v>
      </c>
      <c r="E22">
        <v>0.10702</v>
      </c>
      <c r="F22" s="11">
        <f>ROUND(F27*E22,0)</f>
        <v>117011</v>
      </c>
      <c r="G22">
        <f t="shared" si="5"/>
        <v>1587.45</v>
      </c>
      <c r="H22">
        <v>73.709999084472599</v>
      </c>
      <c r="I22">
        <v>76.540000915527301</v>
      </c>
      <c r="K22" s="8">
        <v>45287</v>
      </c>
      <c r="L22" s="4">
        <v>1062757.3410996699</v>
      </c>
      <c r="M22" s="9">
        <v>1039691.58921257</v>
      </c>
      <c r="N22" s="3">
        <f t="shared" si="0"/>
        <v>23065.751887099934</v>
      </c>
      <c r="O22" s="5">
        <f t="shared" si="1"/>
        <v>2.2185186574962306E-2</v>
      </c>
      <c r="AB22" s="8">
        <v>45287</v>
      </c>
      <c r="AC22">
        <v>1062757.3410996699</v>
      </c>
      <c r="AD22">
        <v>1039691.58921257</v>
      </c>
      <c r="AE22" s="12">
        <f t="shared" si="2"/>
        <v>23065.751887099934</v>
      </c>
      <c r="AS22" s="8">
        <v>45287</v>
      </c>
      <c r="AT22">
        <v>1062757.3410996699</v>
      </c>
      <c r="AU22">
        <v>1062757.3410996699</v>
      </c>
      <c r="AV22">
        <v>1039691.58921257</v>
      </c>
      <c r="AW22">
        <f t="shared" si="4"/>
        <v>23065.751887099934</v>
      </c>
    </row>
    <row r="23" spans="1:49">
      <c r="A23" s="1"/>
      <c r="D23" t="s">
        <v>24</v>
      </c>
      <c r="E23">
        <v>4.2979999999999997E-2</v>
      </c>
      <c r="F23" s="11">
        <f>ROUND(F27*E23,0)</f>
        <v>46993</v>
      </c>
      <c r="G23">
        <f t="shared" si="5"/>
        <v>400.35</v>
      </c>
      <c r="H23">
        <v>117.379997253417</v>
      </c>
      <c r="I23">
        <v>126.379997253417</v>
      </c>
      <c r="K23" s="8">
        <v>45288</v>
      </c>
      <c r="L23" s="4">
        <v>1065229.25715302</v>
      </c>
      <c r="M23" s="9">
        <v>1040034.79376248</v>
      </c>
      <c r="N23" s="3">
        <f t="shared" si="0"/>
        <v>25194.463390539982</v>
      </c>
      <c r="O23" s="5">
        <f t="shared" si="1"/>
        <v>2.4224635119557181E-2</v>
      </c>
      <c r="AB23" s="8">
        <v>45288</v>
      </c>
      <c r="AC23">
        <v>1065229.25715302</v>
      </c>
      <c r="AD23">
        <v>1040034.79376248</v>
      </c>
      <c r="AE23" s="12">
        <f t="shared" si="2"/>
        <v>25194.463390539982</v>
      </c>
      <c r="AS23" s="8">
        <v>45288</v>
      </c>
      <c r="AT23">
        <v>1065229.25715302</v>
      </c>
      <c r="AU23">
        <v>1065229.25715302</v>
      </c>
      <c r="AV23">
        <v>1040034.79376248</v>
      </c>
      <c r="AW23">
        <f t="shared" si="4"/>
        <v>25194.463390539982</v>
      </c>
    </row>
    <row r="24" spans="1:49">
      <c r="A24" s="1"/>
      <c r="K24" s="8">
        <v>45289</v>
      </c>
      <c r="L24" s="4">
        <v>1065937.19185037</v>
      </c>
      <c r="M24" s="9">
        <v>1037136.0684316501</v>
      </c>
      <c r="N24" s="3">
        <f t="shared" si="0"/>
        <v>28801.123418719973</v>
      </c>
      <c r="O24" s="5">
        <f t="shared" si="1"/>
        <v>2.7769859997514919E-2</v>
      </c>
      <c r="AB24" s="8">
        <v>45289</v>
      </c>
      <c r="AC24">
        <v>1065937.19185037</v>
      </c>
      <c r="AD24">
        <v>1037136.0684316501</v>
      </c>
      <c r="AE24" s="12">
        <f t="shared" si="2"/>
        <v>28801.123418719973</v>
      </c>
      <c r="AS24" s="8">
        <v>45289</v>
      </c>
      <c r="AT24">
        <v>1065937.19185037</v>
      </c>
      <c r="AU24">
        <v>1065937.19185037</v>
      </c>
      <c r="AV24">
        <v>1037136.0684316501</v>
      </c>
      <c r="AW24">
        <f t="shared" si="4"/>
        <v>28801.123418719973</v>
      </c>
    </row>
    <row r="25" spans="1:49">
      <c r="A25" s="1"/>
      <c r="K25" s="8">
        <v>45293</v>
      </c>
      <c r="L25" s="4">
        <v>1075222.95844299</v>
      </c>
      <c r="M25" s="9">
        <v>1030304.36163047</v>
      </c>
      <c r="N25" s="3">
        <f t="shared" si="0"/>
        <v>44918.596812519943</v>
      </c>
      <c r="O25" s="5">
        <f t="shared" si="1"/>
        <v>4.3597405276859819E-2</v>
      </c>
      <c r="AB25" s="8">
        <v>45293</v>
      </c>
      <c r="AC25">
        <v>1075222.95844299</v>
      </c>
      <c r="AD25">
        <v>1030304.36163047</v>
      </c>
      <c r="AE25" s="12">
        <f t="shared" si="2"/>
        <v>44918.596812519943</v>
      </c>
      <c r="AS25" s="8">
        <v>45293</v>
      </c>
      <c r="AT25">
        <v>1075222.95844299</v>
      </c>
      <c r="AU25">
        <v>1075222.95844299</v>
      </c>
      <c r="AV25">
        <v>1030304.36163047</v>
      </c>
      <c r="AW25">
        <f t="shared" si="4"/>
        <v>44918.596812519943</v>
      </c>
    </row>
    <row r="26" spans="1:49">
      <c r="A26" s="1"/>
      <c r="K26" s="8">
        <v>45294</v>
      </c>
      <c r="L26" s="4">
        <v>1080575.4971892801</v>
      </c>
      <c r="M26" s="9">
        <v>1024534.76590754</v>
      </c>
      <c r="N26" s="3">
        <f t="shared" si="0"/>
        <v>56040.731281740125</v>
      </c>
      <c r="O26" s="5">
        <f t="shared" si="1"/>
        <v>5.469871120683626E-2</v>
      </c>
      <c r="R26" t="s">
        <v>5</v>
      </c>
      <c r="AB26" s="8">
        <v>45294</v>
      </c>
      <c r="AC26">
        <v>1080575.4971892801</v>
      </c>
      <c r="AD26">
        <v>1024534.76590754</v>
      </c>
      <c r="AE26" s="12">
        <f t="shared" si="2"/>
        <v>56040.731281740125</v>
      </c>
      <c r="AS26" s="8">
        <v>45294</v>
      </c>
      <c r="AT26">
        <v>1080575.4971892801</v>
      </c>
      <c r="AU26">
        <v>1080575.4971892801</v>
      </c>
      <c r="AV26">
        <v>1024534.76590754</v>
      </c>
      <c r="AW26">
        <f t="shared" si="4"/>
        <v>56040.731281740125</v>
      </c>
    </row>
    <row r="27" spans="1:49" ht="15.5">
      <c r="A27" s="1"/>
      <c r="D27" s="6" t="s">
        <v>11</v>
      </c>
      <c r="E27" s="7">
        <f>SUM(E17:E23)</f>
        <v>1</v>
      </c>
      <c r="F27">
        <v>1093359.9809996099</v>
      </c>
      <c r="I27">
        <v>1172466.44313615</v>
      </c>
      <c r="K27" s="8">
        <v>45295</v>
      </c>
      <c r="L27" s="4">
        <v>1086744.8856818599</v>
      </c>
      <c r="M27" s="9">
        <v>1020175.12830256</v>
      </c>
      <c r="N27" s="3">
        <f t="shared" si="0"/>
        <v>66569.757379299961</v>
      </c>
      <c r="O27" s="5">
        <f t="shared" si="1"/>
        <v>6.5253264397911237E-2</v>
      </c>
      <c r="R27" t="s">
        <v>6</v>
      </c>
      <c r="AB27" s="8">
        <v>45295</v>
      </c>
      <c r="AC27">
        <v>1086744.8856818599</v>
      </c>
      <c r="AD27">
        <v>1020175.12830256</v>
      </c>
      <c r="AE27" s="12">
        <f t="shared" si="2"/>
        <v>66569.757379299961</v>
      </c>
      <c r="AS27" s="8">
        <v>45295</v>
      </c>
      <c r="AT27">
        <v>1086744.8856818599</v>
      </c>
      <c r="AU27">
        <v>1086744.8856818599</v>
      </c>
      <c r="AV27">
        <v>1020175.12830256</v>
      </c>
      <c r="AW27">
        <f t="shared" si="4"/>
        <v>66569.757379299961</v>
      </c>
    </row>
    <row r="28" spans="1:49">
      <c r="A28" s="1"/>
      <c r="K28" s="8">
        <v>45296</v>
      </c>
      <c r="L28" s="4">
        <v>1085434.47782522</v>
      </c>
      <c r="M28" s="9">
        <v>1022466.2536285</v>
      </c>
      <c r="N28" s="3">
        <f t="shared" si="0"/>
        <v>62968.224196719937</v>
      </c>
      <c r="O28" s="5">
        <f t="shared" si="1"/>
        <v>6.1584647877873759E-2</v>
      </c>
      <c r="R28" t="s">
        <v>7</v>
      </c>
      <c r="AB28" s="8">
        <v>45296</v>
      </c>
      <c r="AC28">
        <v>1085434.47782522</v>
      </c>
      <c r="AD28">
        <v>1022466.2536285</v>
      </c>
      <c r="AE28" s="12">
        <f t="shared" si="2"/>
        <v>62968.224196719937</v>
      </c>
      <c r="AS28" s="8">
        <v>45296</v>
      </c>
      <c r="AT28">
        <v>1085434.47782522</v>
      </c>
      <c r="AU28">
        <v>1085434.47782522</v>
      </c>
      <c r="AV28">
        <v>1022466.2536285</v>
      </c>
      <c r="AW28">
        <f t="shared" si="4"/>
        <v>62968.224196719937</v>
      </c>
    </row>
    <row r="29" spans="1:49">
      <c r="A29" s="1"/>
      <c r="K29" s="8">
        <v>45299</v>
      </c>
      <c r="L29" s="4">
        <v>1093359.9809996099</v>
      </c>
      <c r="M29" s="9">
        <v>1038239.96191799</v>
      </c>
      <c r="N29" s="3">
        <f t="shared" si="0"/>
        <v>55120.019081619917</v>
      </c>
      <c r="O29" s="5">
        <f t="shared" si="1"/>
        <v>5.3089864678098203E-2</v>
      </c>
      <c r="AB29" s="8">
        <v>45299</v>
      </c>
      <c r="AC29">
        <v>1093359.9809996099</v>
      </c>
      <c r="AD29">
        <v>1038239.96191799</v>
      </c>
      <c r="AE29" s="12">
        <f t="shared" si="2"/>
        <v>55120.019081619917</v>
      </c>
      <c r="AS29" s="8">
        <v>45299</v>
      </c>
      <c r="AT29">
        <v>1093359.9809996099</v>
      </c>
      <c r="AU29">
        <v>1093359.9809996099</v>
      </c>
      <c r="AV29">
        <v>1038239.96191799</v>
      </c>
      <c r="AW29">
        <f t="shared" si="4"/>
        <v>55120.019081619917</v>
      </c>
    </row>
    <row r="30" spans="1:49">
      <c r="A30" t="s">
        <v>32</v>
      </c>
      <c r="B30" t="s">
        <v>28</v>
      </c>
      <c r="C30" s="1" t="s">
        <v>2</v>
      </c>
      <c r="D30" s="1" t="s">
        <v>1</v>
      </c>
      <c r="E30" s="1" t="s">
        <v>4</v>
      </c>
      <c r="F30" s="1" t="s">
        <v>17</v>
      </c>
      <c r="G30" s="1" t="s">
        <v>18</v>
      </c>
      <c r="H30" s="1" t="s">
        <v>19</v>
      </c>
      <c r="I30" s="1" t="s">
        <v>37</v>
      </c>
      <c r="K30" s="8">
        <v>45300</v>
      </c>
      <c r="L30" s="4">
        <v>1089930.48914779</v>
      </c>
      <c r="M30" s="9">
        <v>1038026.63385068</v>
      </c>
      <c r="N30" s="3">
        <f t="shared" si="0"/>
        <v>51903.855297110043</v>
      </c>
      <c r="O30" s="5">
        <f t="shared" si="1"/>
        <v>5.0002431155900771E-2</v>
      </c>
      <c r="AB30" s="8">
        <v>45300</v>
      </c>
      <c r="AC30">
        <v>1097323.52202018</v>
      </c>
      <c r="AD30">
        <v>1038026.63385068</v>
      </c>
      <c r="AE30" s="12">
        <f t="shared" si="2"/>
        <v>59296.888169500045</v>
      </c>
      <c r="AS30" s="8">
        <v>45300</v>
      </c>
      <c r="AT30">
        <v>1089930.48914779</v>
      </c>
      <c r="AU30">
        <v>1097323.52202018</v>
      </c>
      <c r="AV30">
        <v>1038026.63385068</v>
      </c>
      <c r="AW30">
        <f t="shared" si="4"/>
        <v>51903.855297110043</v>
      </c>
    </row>
    <row r="31" spans="1:49">
      <c r="A31" s="1"/>
      <c r="C31" t="s">
        <v>3</v>
      </c>
      <c r="D31" t="s">
        <v>26</v>
      </c>
      <c r="E31">
        <v>0.17</v>
      </c>
      <c r="F31" s="11">
        <f>ROUND(F41*E31,0)</f>
        <v>199319</v>
      </c>
      <c r="G31">
        <f>ROUND(F31/H31,2)</f>
        <v>618.91999999999996</v>
      </c>
      <c r="H31">
        <v>322.04244995117102</v>
      </c>
      <c r="I31">
        <v>280.329986572265</v>
      </c>
      <c r="K31" s="8">
        <v>45301</v>
      </c>
      <c r="L31" s="4">
        <v>1091746.28365585</v>
      </c>
      <c r="M31" s="9">
        <v>1045062.3837396</v>
      </c>
      <c r="N31" s="3">
        <f t="shared" si="0"/>
        <v>46683.899916250026</v>
      </c>
      <c r="O31" s="5">
        <f t="shared" si="1"/>
        <v>4.4670921700577002E-2</v>
      </c>
      <c r="AB31" s="8">
        <v>45301</v>
      </c>
      <c r="AC31">
        <v>1099180.9685289101</v>
      </c>
      <c r="AD31">
        <v>1045062.3837396</v>
      </c>
      <c r="AE31" s="12">
        <f t="shared" si="2"/>
        <v>54118.584789310116</v>
      </c>
      <c r="AS31" s="8">
        <v>45301</v>
      </c>
      <c r="AT31">
        <v>1091746.28365585</v>
      </c>
      <c r="AU31">
        <v>1099180.9685289101</v>
      </c>
      <c r="AV31">
        <v>1045062.3837396</v>
      </c>
      <c r="AW31">
        <f t="shared" si="4"/>
        <v>46683.899916250026</v>
      </c>
    </row>
    <row r="32" spans="1:49">
      <c r="A32" s="1"/>
      <c r="D32" t="s">
        <v>12</v>
      </c>
      <c r="E32">
        <v>0.17</v>
      </c>
      <c r="F32" s="11">
        <f>ROUND(F41*E32,0)</f>
        <v>199319</v>
      </c>
      <c r="G32">
        <f t="shared" ref="G32:G36" si="6">ROUND(F32/H32,2)</f>
        <v>515.78</v>
      </c>
      <c r="H32">
        <v>386.44000244140602</v>
      </c>
      <c r="I32">
        <v>407.10998535156199</v>
      </c>
      <c r="K32" s="8">
        <v>45302</v>
      </c>
      <c r="L32" s="4">
        <v>1092204.6517597099</v>
      </c>
      <c r="M32" s="9">
        <v>1044450.14124492</v>
      </c>
      <c r="N32" s="3">
        <f t="shared" si="0"/>
        <v>47754.510514789959</v>
      </c>
      <c r="O32" s="5">
        <f t="shared" si="1"/>
        <v>4.5722154298212393E-2</v>
      </c>
      <c r="AB32" s="8">
        <v>45302</v>
      </c>
      <c r="AC32">
        <v>1101655.9012549301</v>
      </c>
      <c r="AD32">
        <v>1044450.14124492</v>
      </c>
      <c r="AE32" s="12">
        <f t="shared" si="2"/>
        <v>57205.760010010097</v>
      </c>
      <c r="AS32" s="8">
        <v>45302</v>
      </c>
      <c r="AT32">
        <v>1092204.6517597099</v>
      </c>
      <c r="AU32">
        <v>1101655.9012549301</v>
      </c>
      <c r="AV32">
        <v>1044450.14124492</v>
      </c>
      <c r="AW32">
        <f t="shared" si="4"/>
        <v>47754.510514789959</v>
      </c>
    </row>
    <row r="33" spans="1:49">
      <c r="A33" s="1"/>
      <c r="D33" t="s">
        <v>10</v>
      </c>
      <c r="E33">
        <v>0.17</v>
      </c>
      <c r="F33" s="11">
        <f>ROUND(F41*E33,0)</f>
        <v>199319</v>
      </c>
      <c r="G33">
        <f t="shared" si="6"/>
        <v>282.93</v>
      </c>
      <c r="H33">
        <v>704.47998046875</v>
      </c>
      <c r="I33">
        <v>749.44000244140602</v>
      </c>
      <c r="K33" s="8">
        <v>45303</v>
      </c>
      <c r="L33" s="4">
        <v>1107479.4251041301</v>
      </c>
      <c r="M33" s="9">
        <v>1045577.13394873</v>
      </c>
      <c r="N33" s="3">
        <f t="shared" si="0"/>
        <v>61902.291155400104</v>
      </c>
      <c r="O33" s="5">
        <f t="shared" si="1"/>
        <v>5.9203945022802587E-2</v>
      </c>
      <c r="AB33" s="8">
        <v>45303</v>
      </c>
      <c r="AC33">
        <v>1115336.51370376</v>
      </c>
      <c r="AD33">
        <v>1045577.13394873</v>
      </c>
      <c r="AE33" s="12">
        <f t="shared" si="2"/>
        <v>69759.379755030037</v>
      </c>
      <c r="AS33" s="8">
        <v>45303</v>
      </c>
      <c r="AT33">
        <v>1107479.4251041301</v>
      </c>
      <c r="AU33">
        <v>1115336.51370376</v>
      </c>
      <c r="AV33">
        <v>1045577.13394873</v>
      </c>
      <c r="AW33">
        <f t="shared" si="4"/>
        <v>61902.291155400104</v>
      </c>
    </row>
    <row r="34" spans="1:49">
      <c r="A34" s="1"/>
      <c r="D34" t="s">
        <v>23</v>
      </c>
      <c r="E34">
        <v>0.17</v>
      </c>
      <c r="F34" s="11">
        <f>ROUND(F41*E34,0)</f>
        <v>199319</v>
      </c>
      <c r="G34">
        <f t="shared" si="6"/>
        <v>1076.17</v>
      </c>
      <c r="H34">
        <v>185.21144104003901</v>
      </c>
      <c r="I34">
        <v>188.19999694824199</v>
      </c>
      <c r="K34" s="8">
        <v>45307</v>
      </c>
      <c r="L34" s="4">
        <v>1100504.0957115099</v>
      </c>
      <c r="M34" s="9">
        <v>1042307.46236073</v>
      </c>
      <c r="N34" s="3">
        <f t="shared" si="0"/>
        <v>58196.633350779884</v>
      </c>
      <c r="O34" s="5">
        <f t="shared" si="1"/>
        <v>5.5834420698639045E-2</v>
      </c>
      <c r="AB34" s="8">
        <v>45307</v>
      </c>
      <c r="AC34">
        <v>1110364.6617523101</v>
      </c>
      <c r="AD34">
        <v>1042307.46236073</v>
      </c>
      <c r="AE34" s="12">
        <f t="shared" si="2"/>
        <v>68057.19939158007</v>
      </c>
      <c r="AS34" s="8">
        <v>45307</v>
      </c>
      <c r="AT34">
        <v>1100504.0957115099</v>
      </c>
      <c r="AU34">
        <v>1110364.6617523101</v>
      </c>
      <c r="AV34">
        <v>1042307.46236073</v>
      </c>
      <c r="AW34">
        <f t="shared" si="4"/>
        <v>58196.633350779884</v>
      </c>
    </row>
    <row r="35" spans="1:49">
      <c r="A35" s="1"/>
      <c r="D35" t="s">
        <v>0</v>
      </c>
      <c r="E35">
        <v>0.17</v>
      </c>
      <c r="F35" s="11">
        <f>ROUND(F41*E35,0)</f>
        <v>199319</v>
      </c>
      <c r="G35">
        <f t="shared" si="6"/>
        <v>302.33</v>
      </c>
      <c r="H35">
        <v>659.2744140625</v>
      </c>
      <c r="I35">
        <v>782.11999511718705</v>
      </c>
      <c r="K35" s="8">
        <v>45308</v>
      </c>
      <c r="L35" s="4">
        <v>1098997.9943397299</v>
      </c>
      <c r="M35" s="9">
        <v>1037145.35341123</v>
      </c>
      <c r="N35" s="3">
        <f t="shared" si="0"/>
        <v>61852.640928499866</v>
      </c>
      <c r="O35" s="5">
        <f t="shared" si="1"/>
        <v>5.9637389036226229E-2</v>
      </c>
      <c r="AB35" s="8">
        <v>45308</v>
      </c>
      <c r="AC35">
        <v>1108836.17863658</v>
      </c>
      <c r="AD35">
        <v>1037145.35341123</v>
      </c>
      <c r="AE35" s="12">
        <f t="shared" si="2"/>
        <v>71690.825225349981</v>
      </c>
      <c r="AS35" s="8">
        <v>45308</v>
      </c>
      <c r="AT35">
        <v>1098997.9943397299</v>
      </c>
      <c r="AU35">
        <v>1108836.17863658</v>
      </c>
      <c r="AV35">
        <v>1037145.35341123</v>
      </c>
      <c r="AW35">
        <f t="shared" si="4"/>
        <v>61852.640928499866</v>
      </c>
    </row>
    <row r="36" spans="1:49">
      <c r="A36" s="1"/>
      <c r="D36" t="s">
        <v>24</v>
      </c>
      <c r="E36">
        <v>0.15</v>
      </c>
      <c r="F36" s="11">
        <f>ROUND(F41*E36,0)</f>
        <v>175870</v>
      </c>
      <c r="G36">
        <f t="shared" si="6"/>
        <v>1391.6</v>
      </c>
      <c r="H36">
        <v>126.379997253417</v>
      </c>
      <c r="I36">
        <v>126.959999084472</v>
      </c>
      <c r="K36" s="8">
        <v>45309</v>
      </c>
      <c r="L36" s="4">
        <v>1100583.6586928</v>
      </c>
      <c r="M36" s="9">
        <v>1047200.420134</v>
      </c>
      <c r="N36" s="3">
        <f t="shared" si="0"/>
        <v>53383.23855879996</v>
      </c>
      <c r="O36" s="5">
        <f t="shared" si="1"/>
        <v>5.0977098110759948E-2</v>
      </c>
      <c r="AB36" s="8">
        <v>45309</v>
      </c>
      <c r="AC36">
        <v>1110358.60444984</v>
      </c>
      <c r="AD36">
        <v>1047200.420134</v>
      </c>
      <c r="AE36" s="12">
        <f t="shared" si="2"/>
        <v>63158.184315840015</v>
      </c>
      <c r="AS36" s="8">
        <v>45309</v>
      </c>
      <c r="AT36">
        <v>1100583.6586928</v>
      </c>
      <c r="AU36">
        <v>1110358.60444984</v>
      </c>
      <c r="AV36">
        <v>1047200.420134</v>
      </c>
      <c r="AW36">
        <f t="shared" si="4"/>
        <v>53383.23855879996</v>
      </c>
    </row>
    <row r="37" spans="1:49">
      <c r="A37" s="1"/>
      <c r="K37" s="8">
        <v>45310</v>
      </c>
      <c r="L37" s="4">
        <v>1110484.9327857599</v>
      </c>
      <c r="M37" s="9">
        <v>1062134.7436235901</v>
      </c>
      <c r="N37" s="3">
        <f t="shared" si="0"/>
        <v>48350.189162169816</v>
      </c>
      <c r="O37" s="5">
        <f t="shared" si="1"/>
        <v>4.5521709418164594E-2</v>
      </c>
      <c r="AB37" s="8">
        <v>45310</v>
      </c>
      <c r="AC37">
        <v>1120229.9987151001</v>
      </c>
      <c r="AD37">
        <v>1062134.7436235901</v>
      </c>
      <c r="AE37" s="12">
        <f t="shared" si="2"/>
        <v>58095.255091510015</v>
      </c>
      <c r="AS37" s="8">
        <v>45310</v>
      </c>
      <c r="AT37">
        <v>1110484.9327857599</v>
      </c>
      <c r="AU37">
        <v>1120229.9987151001</v>
      </c>
      <c r="AV37">
        <v>1062134.7436235901</v>
      </c>
      <c r="AW37">
        <f t="shared" si="4"/>
        <v>48350.189162169816</v>
      </c>
    </row>
    <row r="38" spans="1:49">
      <c r="A38" s="1"/>
      <c r="K38" s="8">
        <v>45313</v>
      </c>
      <c r="L38" s="4">
        <v>1114393.0281934501</v>
      </c>
      <c r="M38" s="9">
        <v>1062691.2762408201</v>
      </c>
      <c r="N38" s="3">
        <f t="shared" si="0"/>
        <v>51701.751952630002</v>
      </c>
      <c r="O38" s="5">
        <f t="shared" si="1"/>
        <v>4.8651713915936666E-2</v>
      </c>
      <c r="AB38" s="8">
        <v>45313</v>
      </c>
      <c r="AC38">
        <v>1109359.58929974</v>
      </c>
      <c r="AD38">
        <v>1062691.2762408201</v>
      </c>
      <c r="AE38" s="12">
        <f t="shared" si="2"/>
        <v>46668.313058919972</v>
      </c>
      <c r="AS38" s="8">
        <v>45313</v>
      </c>
      <c r="AT38">
        <v>1114393.0281934501</v>
      </c>
      <c r="AU38">
        <v>1109359.58929974</v>
      </c>
      <c r="AV38">
        <v>1062691.2762408201</v>
      </c>
      <c r="AW38">
        <f t="shared" si="4"/>
        <v>51701.751952630002</v>
      </c>
    </row>
    <row r="39" spans="1:49">
      <c r="A39" s="1"/>
      <c r="K39" s="8">
        <v>45314</v>
      </c>
      <c r="L39" s="4">
        <v>1115710.45090117</v>
      </c>
      <c r="M39" s="9">
        <v>1067278.16938248</v>
      </c>
      <c r="N39" s="3">
        <f t="shared" si="0"/>
        <v>48432.281518690055</v>
      </c>
      <c r="O39" s="5">
        <f t="shared" si="1"/>
        <v>4.5379248735793638E-2</v>
      </c>
      <c r="AB39" s="8">
        <v>45314</v>
      </c>
      <c r="AC39">
        <v>1112294.08866482</v>
      </c>
      <c r="AD39">
        <v>1067278.16938248</v>
      </c>
      <c r="AE39" s="12">
        <f t="shared" si="2"/>
        <v>45015.919282339979</v>
      </c>
      <c r="AS39" s="8">
        <v>45314</v>
      </c>
      <c r="AT39">
        <v>1115710.45090117</v>
      </c>
      <c r="AU39">
        <v>1112294.08866482</v>
      </c>
      <c r="AV39">
        <v>1067278.16938248</v>
      </c>
      <c r="AW39">
        <f t="shared" si="4"/>
        <v>48432.281518690055</v>
      </c>
    </row>
    <row r="40" spans="1:49">
      <c r="A40" s="1"/>
      <c r="K40" s="8">
        <v>45315</v>
      </c>
      <c r="L40" s="4">
        <v>1121532.1362558401</v>
      </c>
      <c r="M40" s="9">
        <v>1070812.34965693</v>
      </c>
      <c r="N40" s="3">
        <f t="shared" si="0"/>
        <v>50719.786598910112</v>
      </c>
      <c r="O40" s="5">
        <f t="shared" si="1"/>
        <v>4.7365709421599282E-2</v>
      </c>
      <c r="AB40" s="8">
        <v>45315</v>
      </c>
      <c r="AC40">
        <v>1117324.66059659</v>
      </c>
      <c r="AD40">
        <v>1070812.34965693</v>
      </c>
      <c r="AE40" s="12">
        <f t="shared" si="2"/>
        <v>46512.310939660063</v>
      </c>
      <c r="AS40" s="8">
        <v>45315</v>
      </c>
      <c r="AT40">
        <v>1121532.1362558401</v>
      </c>
      <c r="AU40">
        <v>1117324.66059659</v>
      </c>
      <c r="AV40">
        <v>1070812.34965693</v>
      </c>
      <c r="AW40">
        <f t="shared" si="4"/>
        <v>50719.786598910112</v>
      </c>
    </row>
    <row r="41" spans="1:49" ht="15.5">
      <c r="A41" s="1"/>
      <c r="D41" s="6" t="s">
        <v>11</v>
      </c>
      <c r="E41" s="7">
        <f>SUM(E31:E37)</f>
        <v>1</v>
      </c>
      <c r="F41" s="6">
        <f>I27</f>
        <v>1172466.44313615</v>
      </c>
      <c r="I41">
        <v>1211194.8768543501</v>
      </c>
      <c r="K41" s="8">
        <v>45316</v>
      </c>
      <c r="L41" s="4">
        <v>1144567.36144763</v>
      </c>
      <c r="M41" s="9">
        <v>1074926.16176608</v>
      </c>
      <c r="N41" s="3">
        <f t="shared" si="0"/>
        <v>69641.199681550032</v>
      </c>
      <c r="O41" s="5">
        <f t="shared" si="1"/>
        <v>6.4786961336145241E-2</v>
      </c>
      <c r="AB41" s="8">
        <v>45316</v>
      </c>
      <c r="AC41">
        <v>1137956.77978833</v>
      </c>
      <c r="AD41">
        <v>1074926.16176608</v>
      </c>
      <c r="AE41" s="12">
        <f t="shared" si="2"/>
        <v>63030.618022250012</v>
      </c>
      <c r="AS41" s="8">
        <v>45316</v>
      </c>
      <c r="AT41">
        <v>1144567.36144763</v>
      </c>
      <c r="AU41">
        <v>1137956.77978833</v>
      </c>
      <c r="AV41">
        <v>1074926.16176608</v>
      </c>
      <c r="AW41">
        <f t="shared" si="4"/>
        <v>69641.199681550032</v>
      </c>
    </row>
    <row r="42" spans="1:49">
      <c r="A42" s="1"/>
      <c r="K42" s="8">
        <v>45317</v>
      </c>
      <c r="L42" s="4">
        <v>1148122.5462986301</v>
      </c>
      <c r="M42" s="9">
        <v>1074300.1050334999</v>
      </c>
      <c r="N42" s="3">
        <f t="shared" si="0"/>
        <v>73822.441265130183</v>
      </c>
      <c r="O42" s="5">
        <f t="shared" si="1"/>
        <v>6.8716777480747032E-2</v>
      </c>
      <c r="AB42" s="8">
        <v>45317</v>
      </c>
      <c r="AC42">
        <v>1140403.37447919</v>
      </c>
      <c r="AD42">
        <v>1074300.1050334999</v>
      </c>
      <c r="AE42" s="12">
        <f t="shared" si="2"/>
        <v>66103.269445690094</v>
      </c>
      <c r="AS42" s="8">
        <v>45317</v>
      </c>
      <c r="AT42">
        <v>1148122.5462986301</v>
      </c>
      <c r="AU42">
        <v>1140403.37447919</v>
      </c>
      <c r="AV42">
        <v>1074300.1050334999</v>
      </c>
      <c r="AW42">
        <f t="shared" si="4"/>
        <v>73822.441265130183</v>
      </c>
    </row>
    <row r="43" spans="1:49">
      <c r="A43" s="1"/>
      <c r="K43" s="8">
        <v>45320</v>
      </c>
      <c r="L43" s="4">
        <v>1153405.4645901199</v>
      </c>
      <c r="M43" s="9">
        <v>1082611.29406798</v>
      </c>
      <c r="N43" s="3">
        <f t="shared" si="0"/>
        <v>70794.170522139873</v>
      </c>
      <c r="O43" s="5">
        <f t="shared" si="1"/>
        <v>6.5392048752905885E-2</v>
      </c>
      <c r="AB43" s="8">
        <v>45320</v>
      </c>
      <c r="AC43">
        <v>1144395.9821836699</v>
      </c>
      <c r="AD43">
        <v>1082611.29406798</v>
      </c>
      <c r="AE43" s="12">
        <f t="shared" si="2"/>
        <v>61784.688115689903</v>
      </c>
      <c r="AS43" s="8">
        <v>45320</v>
      </c>
      <c r="AT43">
        <v>1153405.4645901199</v>
      </c>
      <c r="AU43">
        <v>1144395.9821836699</v>
      </c>
      <c r="AV43">
        <v>1082611.29406798</v>
      </c>
      <c r="AW43">
        <f t="shared" si="4"/>
        <v>70794.170522139873</v>
      </c>
    </row>
    <row r="44" spans="1:49">
      <c r="A44" s="1" t="s">
        <v>35</v>
      </c>
      <c r="B44" t="s">
        <v>36</v>
      </c>
      <c r="C44" s="1" t="s">
        <v>2</v>
      </c>
      <c r="D44" s="1" t="s">
        <v>1</v>
      </c>
      <c r="E44" s="1" t="s">
        <v>4</v>
      </c>
      <c r="F44" s="1" t="s">
        <v>17</v>
      </c>
      <c r="G44" s="1" t="s">
        <v>18</v>
      </c>
      <c r="H44" s="1" t="s">
        <v>19</v>
      </c>
      <c r="I44" s="1" t="s">
        <v>40</v>
      </c>
      <c r="K44" s="8">
        <v>45321</v>
      </c>
      <c r="L44" s="4">
        <v>1160831.6747785299</v>
      </c>
      <c r="M44" s="9">
        <v>1080960.15294399</v>
      </c>
      <c r="N44" s="3">
        <f t="shared" si="0"/>
        <v>79871.521834539948</v>
      </c>
      <c r="O44" s="5">
        <f t="shared" si="1"/>
        <v>7.3889422858937237E-2</v>
      </c>
      <c r="AB44" s="8">
        <v>45321</v>
      </c>
      <c r="AC44">
        <v>1149838.66397965</v>
      </c>
      <c r="AD44">
        <v>1080960.15294399</v>
      </c>
      <c r="AE44" s="12">
        <f t="shared" si="2"/>
        <v>68878.511035660049</v>
      </c>
      <c r="AS44" s="8">
        <v>45321</v>
      </c>
      <c r="AT44">
        <v>1160831.6747785299</v>
      </c>
      <c r="AU44">
        <v>1149838.66397965</v>
      </c>
      <c r="AV44">
        <v>1080960.15294399</v>
      </c>
      <c r="AW44">
        <f t="shared" si="4"/>
        <v>79871.521834539948</v>
      </c>
    </row>
    <row r="45" spans="1:49">
      <c r="A45" s="1"/>
      <c r="C45" t="s">
        <v>3</v>
      </c>
      <c r="D45" t="s">
        <v>26</v>
      </c>
      <c r="E45">
        <v>9.1128622430928494E-2</v>
      </c>
      <c r="F45" s="11">
        <f>ROUND(F55*E45,0)</f>
        <v>110375</v>
      </c>
      <c r="G45">
        <f>ROUND(F45/H45,2)</f>
        <v>393.73</v>
      </c>
      <c r="H45">
        <v>280.329986572265</v>
      </c>
      <c r="I45">
        <v>283.04000854492102</v>
      </c>
      <c r="K45" s="8">
        <v>45322</v>
      </c>
      <c r="L45" s="4">
        <v>1149541.2047333999</v>
      </c>
      <c r="M45" s="9">
        <v>1061383.33966674</v>
      </c>
      <c r="N45" s="3">
        <f t="shared" si="0"/>
        <v>88157.86506665987</v>
      </c>
      <c r="O45" s="5">
        <f t="shared" si="1"/>
        <v>8.3059401605399458E-2</v>
      </c>
      <c r="AB45" s="8">
        <v>45322</v>
      </c>
      <c r="AC45">
        <v>1138543.52466193</v>
      </c>
      <c r="AD45">
        <v>1061383.33966674</v>
      </c>
      <c r="AE45" s="12">
        <f t="shared" si="2"/>
        <v>77160.184995190008</v>
      </c>
      <c r="AS45" s="8">
        <v>45322</v>
      </c>
      <c r="AT45">
        <v>1149541.2047333999</v>
      </c>
      <c r="AU45">
        <v>1138543.52466193</v>
      </c>
      <c r="AV45">
        <v>1061383.33966674</v>
      </c>
      <c r="AW45">
        <f t="shared" si="4"/>
        <v>88157.86506665987</v>
      </c>
    </row>
    <row r="46" spans="1:49">
      <c r="A46" s="1"/>
      <c r="D46" t="s">
        <v>12</v>
      </c>
      <c r="E46">
        <v>0.103006014602296</v>
      </c>
      <c r="F46" s="11">
        <f>ROUND(F55*E46,0)</f>
        <v>124760</v>
      </c>
      <c r="G46">
        <f t="shared" ref="G46:G50" si="7">ROUND(F46/H46,2)</f>
        <v>306.45</v>
      </c>
      <c r="H46">
        <v>407.10998535156199</v>
      </c>
      <c r="I46">
        <v>420.20001220703102</v>
      </c>
      <c r="K46" s="8">
        <v>45323</v>
      </c>
      <c r="L46" s="4">
        <v>1172466.44313615</v>
      </c>
      <c r="M46" s="9">
        <v>1074522.71808039</v>
      </c>
      <c r="N46" s="3">
        <f t="shared" si="0"/>
        <v>97943.725055760005</v>
      </c>
      <c r="O46" s="5">
        <f t="shared" si="1"/>
        <v>9.1150911383925143E-2</v>
      </c>
      <c r="AB46" s="8">
        <v>45323</v>
      </c>
      <c r="AC46">
        <v>1161232.7268819599</v>
      </c>
      <c r="AD46">
        <v>1074522.71808039</v>
      </c>
      <c r="AE46" s="12">
        <f t="shared" si="2"/>
        <v>86710.008801569929</v>
      </c>
      <c r="AS46" s="8">
        <v>45323</v>
      </c>
      <c r="AT46">
        <v>1172466.44313615</v>
      </c>
      <c r="AU46">
        <v>1161232.7268819599</v>
      </c>
      <c r="AV46">
        <v>1074522.71808039</v>
      </c>
      <c r="AW46">
        <f t="shared" si="4"/>
        <v>97943.725055760005</v>
      </c>
    </row>
    <row r="47" spans="1:49">
      <c r="A47" s="1"/>
      <c r="D47" t="s">
        <v>10</v>
      </c>
      <c r="E47">
        <v>0.17</v>
      </c>
      <c r="F47" s="11">
        <f>ROUND(F55*E47,0)</f>
        <v>205903</v>
      </c>
      <c r="G47">
        <f t="shared" si="7"/>
        <v>274.74</v>
      </c>
      <c r="H47">
        <v>749.44000244140602</v>
      </c>
      <c r="I47">
        <v>721.239990234375</v>
      </c>
      <c r="K47" s="8">
        <v>45324</v>
      </c>
      <c r="L47" s="4">
        <v>1176299.8107673801</v>
      </c>
      <c r="M47" s="9">
        <v>1090959.62302077</v>
      </c>
      <c r="N47" s="3">
        <f t="shared" si="0"/>
        <v>85340.187746610027</v>
      </c>
      <c r="O47" s="5">
        <f t="shared" si="1"/>
        <v>7.8224881971626636E-2</v>
      </c>
      <c r="AB47" s="8">
        <v>45324</v>
      </c>
      <c r="AC47">
        <v>1161260.2196975499</v>
      </c>
      <c r="AD47">
        <v>1090959.62302077</v>
      </c>
      <c r="AE47" s="12">
        <f t="shared" si="2"/>
        <v>70300.596676779911</v>
      </c>
      <c r="AS47" s="8">
        <v>45324</v>
      </c>
      <c r="AT47">
        <v>1176299.8107673801</v>
      </c>
      <c r="AU47">
        <v>1161260.2196975499</v>
      </c>
      <c r="AV47">
        <v>1090959.62302077</v>
      </c>
      <c r="AW47">
        <f t="shared" si="4"/>
        <v>85340.187746610027</v>
      </c>
    </row>
    <row r="48" spans="1:49">
      <c r="A48" s="1"/>
      <c r="D48" t="s">
        <v>21</v>
      </c>
      <c r="E48">
        <v>0.17</v>
      </c>
      <c r="F48" s="11">
        <f>ROUND(F55*E48,0)</f>
        <v>205903</v>
      </c>
      <c r="G48">
        <f t="shared" si="7"/>
        <v>757.14</v>
      </c>
      <c r="H48">
        <v>271.95001220703102</v>
      </c>
      <c r="I48">
        <v>291.54998779296801</v>
      </c>
      <c r="K48" s="8">
        <v>45327</v>
      </c>
      <c r="L48" s="4">
        <v>1184818.0046345</v>
      </c>
      <c r="M48" s="9">
        <v>1089160.14868649</v>
      </c>
      <c r="N48" s="3">
        <f t="shared" si="0"/>
        <v>95657.855948009994</v>
      </c>
      <c r="O48" s="5">
        <f t="shared" si="1"/>
        <v>8.782717221463883E-2</v>
      </c>
      <c r="AB48" s="8">
        <v>45327</v>
      </c>
      <c r="AC48">
        <v>1167938.34676015</v>
      </c>
      <c r="AD48">
        <v>1089160.14868649</v>
      </c>
      <c r="AE48" s="12">
        <f t="shared" si="2"/>
        <v>78778.198073660024</v>
      </c>
      <c r="AS48" s="8">
        <v>45327</v>
      </c>
      <c r="AT48">
        <v>1184818.0046345</v>
      </c>
      <c r="AU48">
        <v>1167938.34676015</v>
      </c>
      <c r="AV48">
        <v>1089160.14868649</v>
      </c>
      <c r="AW48">
        <f t="shared" si="4"/>
        <v>95657.855948009994</v>
      </c>
    </row>
    <row r="49" spans="1:49">
      <c r="A49" s="1"/>
      <c r="D49" t="s">
        <v>23</v>
      </c>
      <c r="E49">
        <v>0.17</v>
      </c>
      <c r="F49" s="11">
        <f>ROUND(F55*E49,0)</f>
        <v>205903</v>
      </c>
      <c r="G49">
        <f t="shared" si="7"/>
        <v>1094.06</v>
      </c>
      <c r="H49">
        <v>188.19999694824199</v>
      </c>
      <c r="I49">
        <v>189.83000183105401</v>
      </c>
      <c r="K49" s="8">
        <v>45328</v>
      </c>
      <c r="L49" s="4">
        <v>1183237.3627468999</v>
      </c>
      <c r="M49" s="9">
        <v>1090829.7465381699</v>
      </c>
      <c r="N49" s="3">
        <f t="shared" si="0"/>
        <v>92407.616208730033</v>
      </c>
      <c r="O49" s="5">
        <f t="shared" si="1"/>
        <v>8.4713142909782699E-2</v>
      </c>
      <c r="AB49" s="8">
        <v>45328</v>
      </c>
      <c r="AC49">
        <v>1171307.7398747499</v>
      </c>
      <c r="AD49">
        <v>1090829.7465381699</v>
      </c>
      <c r="AE49" s="12">
        <f t="shared" si="2"/>
        <v>80477.993336579995</v>
      </c>
      <c r="AS49" s="8">
        <v>45328</v>
      </c>
      <c r="AT49">
        <v>1183237.3627468999</v>
      </c>
      <c r="AU49">
        <v>1171307.7398747499</v>
      </c>
      <c r="AV49">
        <v>1090829.7465381699</v>
      </c>
      <c r="AW49">
        <f t="shared" si="4"/>
        <v>92407.616208730033</v>
      </c>
    </row>
    <row r="50" spans="1:49">
      <c r="A50" s="1"/>
      <c r="D50" t="s">
        <v>0</v>
      </c>
      <c r="E50">
        <v>0.125865362966774</v>
      </c>
      <c r="F50" s="11">
        <f>ROUND(F55*E50,0)</f>
        <v>152447</v>
      </c>
      <c r="G50">
        <f t="shared" si="7"/>
        <v>194.92</v>
      </c>
      <c r="H50">
        <v>782.11999511718705</v>
      </c>
      <c r="I50">
        <v>760.54998779296795</v>
      </c>
      <c r="K50" s="8">
        <v>45329</v>
      </c>
      <c r="L50" s="4">
        <v>1182712.19884655</v>
      </c>
      <c r="M50" s="9">
        <v>1100973.0205669</v>
      </c>
      <c r="N50" s="3">
        <f t="shared" si="0"/>
        <v>81739.178279649932</v>
      </c>
      <c r="O50" s="5">
        <f t="shared" si="1"/>
        <v>7.4242671484866865E-2</v>
      </c>
      <c r="AB50" s="8">
        <v>45329</v>
      </c>
      <c r="AC50">
        <v>1176113.63938036</v>
      </c>
      <c r="AD50">
        <v>1100973.0205669</v>
      </c>
      <c r="AE50" s="12">
        <f t="shared" si="2"/>
        <v>75140.618813459994</v>
      </c>
      <c r="AS50" s="8">
        <v>45329</v>
      </c>
      <c r="AT50">
        <v>1182712.19884655</v>
      </c>
      <c r="AU50">
        <v>1176113.63938036</v>
      </c>
      <c r="AV50">
        <v>1100973.0205669</v>
      </c>
      <c r="AW50">
        <f t="shared" si="4"/>
        <v>81739.178279649932</v>
      </c>
    </row>
    <row r="51" spans="1:49">
      <c r="A51" s="1"/>
      <c r="D51" t="s">
        <v>24</v>
      </c>
      <c r="E51">
        <v>0.17</v>
      </c>
      <c r="F51" s="11">
        <f>ROUND(F55*E51,0)</f>
        <v>205903</v>
      </c>
      <c r="G51">
        <f>ROUND(F51/H51,2)</f>
        <v>1621.79</v>
      </c>
      <c r="H51">
        <v>126.959999084472</v>
      </c>
      <c r="I51">
        <v>130.99000549316401</v>
      </c>
      <c r="K51" s="8">
        <v>45330</v>
      </c>
      <c r="L51" s="4">
        <v>1187602.79028646</v>
      </c>
      <c r="M51" s="9">
        <v>1100495.2970446099</v>
      </c>
      <c r="N51" s="3">
        <f t="shared" si="0"/>
        <v>87107.493241850054</v>
      </c>
      <c r="O51" s="5">
        <f t="shared" si="1"/>
        <v>7.9152989999846449E-2</v>
      </c>
      <c r="AB51" s="8">
        <v>45330</v>
      </c>
      <c r="AC51">
        <v>1180542.8904398</v>
      </c>
      <c r="AD51">
        <v>1100495.2970446099</v>
      </c>
      <c r="AE51" s="12">
        <f t="shared" si="2"/>
        <v>80047.593395190081</v>
      </c>
      <c r="AS51" s="8">
        <v>45330</v>
      </c>
      <c r="AT51">
        <v>1187602.79028646</v>
      </c>
      <c r="AU51">
        <v>1180542.8904398</v>
      </c>
      <c r="AV51">
        <v>1100495.2970446099</v>
      </c>
      <c r="AW51">
        <f t="shared" si="4"/>
        <v>87107.493241850054</v>
      </c>
    </row>
    <row r="52" spans="1:49">
      <c r="A52" s="1"/>
      <c r="K52" s="8">
        <v>45331</v>
      </c>
      <c r="L52" s="4">
        <v>1187414.44052955</v>
      </c>
      <c r="M52" s="9">
        <v>1107925.3188711</v>
      </c>
      <c r="N52" s="3">
        <f t="shared" si="0"/>
        <v>79489.121658449993</v>
      </c>
      <c r="O52" s="5">
        <f t="shared" si="1"/>
        <v>7.1745920329218546E-2</v>
      </c>
      <c r="AB52" s="8">
        <v>45331</v>
      </c>
      <c r="AC52">
        <v>1180500.5681354399</v>
      </c>
      <c r="AD52">
        <v>1107925.3188711</v>
      </c>
      <c r="AE52" s="12">
        <f t="shared" si="2"/>
        <v>72575.249264339916</v>
      </c>
      <c r="AS52" s="8">
        <v>45331</v>
      </c>
      <c r="AT52">
        <v>1187414.44052955</v>
      </c>
      <c r="AU52">
        <v>1180500.5681354399</v>
      </c>
      <c r="AV52">
        <v>1107925.3188711</v>
      </c>
      <c r="AW52">
        <f t="shared" si="4"/>
        <v>79489.121658449993</v>
      </c>
    </row>
    <row r="53" spans="1:49">
      <c r="A53" s="1"/>
      <c r="K53" s="8">
        <v>45334</v>
      </c>
      <c r="L53" s="4">
        <v>1187609.81754519</v>
      </c>
      <c r="M53" s="9">
        <v>1105569.1986881399</v>
      </c>
      <c r="N53" s="3">
        <f t="shared" si="0"/>
        <v>82040.618857050082</v>
      </c>
      <c r="O53" s="5">
        <f t="shared" si="1"/>
        <v>7.4206679196923059E-2</v>
      </c>
      <c r="AB53" s="8">
        <v>45334</v>
      </c>
      <c r="AC53">
        <v>1180182.3399825799</v>
      </c>
      <c r="AD53">
        <v>1105569.1986881399</v>
      </c>
      <c r="AE53" s="12">
        <f t="shared" si="2"/>
        <v>74613.141294440022</v>
      </c>
      <c r="AS53" s="8">
        <v>45334</v>
      </c>
      <c r="AT53">
        <v>1187609.81754519</v>
      </c>
      <c r="AU53">
        <v>1180182.3399825799</v>
      </c>
      <c r="AV53">
        <v>1105569.1986881399</v>
      </c>
      <c r="AW53">
        <f t="shared" si="4"/>
        <v>82040.618857050082</v>
      </c>
    </row>
    <row r="54" spans="1:49">
      <c r="A54" s="1"/>
      <c r="K54" s="8">
        <v>45335</v>
      </c>
      <c r="L54" s="4">
        <v>1180575.55937402</v>
      </c>
      <c r="M54" s="9">
        <v>1091344.6099787699</v>
      </c>
      <c r="N54" s="3">
        <f t="shared" si="0"/>
        <v>89230.949395250063</v>
      </c>
      <c r="O54" s="5">
        <f t="shared" si="1"/>
        <v>8.1762395286843342E-2</v>
      </c>
      <c r="AB54" s="8">
        <v>45335</v>
      </c>
      <c r="AC54">
        <v>1172637.93501884</v>
      </c>
      <c r="AD54">
        <v>1091344.6099787699</v>
      </c>
      <c r="AE54" s="12">
        <f t="shared" si="2"/>
        <v>81293.325040070107</v>
      </c>
      <c r="AS54" s="8">
        <v>45335</v>
      </c>
      <c r="AT54">
        <v>1180575.55937402</v>
      </c>
      <c r="AU54">
        <v>1172637.93501884</v>
      </c>
      <c r="AV54">
        <v>1091344.6099787699</v>
      </c>
      <c r="AW54">
        <f t="shared" si="4"/>
        <v>89230.949395250063</v>
      </c>
    </row>
    <row r="55" spans="1:49" ht="15.5">
      <c r="A55" s="1"/>
      <c r="D55" s="6" t="s">
        <v>11</v>
      </c>
      <c r="E55" s="7">
        <f>SUM(E45:E51)</f>
        <v>0.99999999999999856</v>
      </c>
      <c r="F55" s="6">
        <f>I41</f>
        <v>1211194.8768543501</v>
      </c>
      <c r="I55">
        <v>1228827.8669106101</v>
      </c>
      <c r="K55" s="8">
        <v>45336</v>
      </c>
      <c r="L55" s="4">
        <v>1189699.94321703</v>
      </c>
      <c r="M55" s="9">
        <v>1100857.0715536701</v>
      </c>
      <c r="N55" s="3">
        <f t="shared" si="0"/>
        <v>88842.871663359925</v>
      </c>
      <c r="O55" s="5">
        <f t="shared" si="1"/>
        <v>8.0703366457894041E-2</v>
      </c>
      <c r="AB55" s="8">
        <v>45336</v>
      </c>
      <c r="AC55">
        <v>1179612.85943975</v>
      </c>
      <c r="AD55">
        <v>1100857.0715536701</v>
      </c>
      <c r="AE55" s="12">
        <f t="shared" si="2"/>
        <v>78755.787886079866</v>
      </c>
      <c r="AS55" s="8">
        <v>45336</v>
      </c>
      <c r="AT55">
        <v>1189699.94321703</v>
      </c>
      <c r="AU55">
        <v>1179612.85943975</v>
      </c>
      <c r="AV55">
        <v>1100857.0715536701</v>
      </c>
      <c r="AW55">
        <f t="shared" si="4"/>
        <v>88842.871663359925</v>
      </c>
    </row>
    <row r="56" spans="1:49">
      <c r="A56" s="1"/>
      <c r="K56" s="8">
        <v>45337</v>
      </c>
      <c r="L56" s="4">
        <v>1198288.5366131</v>
      </c>
      <c r="M56" s="9">
        <v>1104669.4615209999</v>
      </c>
      <c r="N56" s="3">
        <f t="shared" si="0"/>
        <v>93619.075092100073</v>
      </c>
      <c r="O56" s="5">
        <f t="shared" si="1"/>
        <v>8.474849568412765E-2</v>
      </c>
      <c r="AB56" s="8">
        <v>45337</v>
      </c>
      <c r="AC56">
        <v>1186502.08720242</v>
      </c>
      <c r="AD56">
        <v>1104669.4615209999</v>
      </c>
      <c r="AE56" s="12">
        <f t="shared" si="2"/>
        <v>81832.62568142009</v>
      </c>
      <c r="AS56" s="8">
        <v>45337</v>
      </c>
      <c r="AT56">
        <v>1198288.5366131</v>
      </c>
      <c r="AU56">
        <v>1186502.08720242</v>
      </c>
      <c r="AV56">
        <v>1104669.4615209999</v>
      </c>
      <c r="AW56">
        <f t="shared" si="4"/>
        <v>93619.075092100073</v>
      </c>
    </row>
    <row r="57" spans="1:49">
      <c r="A57" s="1"/>
      <c r="K57" s="8">
        <v>45338</v>
      </c>
      <c r="L57" s="4">
        <v>1206036.62166602</v>
      </c>
      <c r="M57" s="9">
        <v>1099085.3389266599</v>
      </c>
      <c r="N57" s="3">
        <f t="shared" si="0"/>
        <v>106951.28273936012</v>
      </c>
      <c r="O57" s="5">
        <f t="shared" si="1"/>
        <v>9.7309352560198958E-2</v>
      </c>
      <c r="AB57" s="8">
        <v>45338</v>
      </c>
      <c r="AC57">
        <v>1193652.81186016</v>
      </c>
      <c r="AD57">
        <v>1099085.3389266599</v>
      </c>
      <c r="AE57" s="12">
        <f t="shared" si="2"/>
        <v>94567.472933500074</v>
      </c>
      <c r="AS57" s="8">
        <v>45338</v>
      </c>
      <c r="AT57">
        <v>1206036.62166602</v>
      </c>
      <c r="AU57">
        <v>1193652.81186016</v>
      </c>
      <c r="AV57">
        <v>1099085.3389266599</v>
      </c>
      <c r="AW57">
        <f t="shared" si="4"/>
        <v>106951.28273936012</v>
      </c>
    </row>
    <row r="58" spans="1:49">
      <c r="A58" s="1" t="s">
        <v>43</v>
      </c>
      <c r="B58" t="s">
        <v>41</v>
      </c>
      <c r="C58" s="1" t="s">
        <v>2</v>
      </c>
      <c r="D58" s="1" t="s">
        <v>1</v>
      </c>
      <c r="E58" s="1" t="s">
        <v>4</v>
      </c>
      <c r="F58" s="1" t="s">
        <v>17</v>
      </c>
      <c r="G58" s="1" t="s">
        <v>18</v>
      </c>
      <c r="H58" s="1" t="s">
        <v>19</v>
      </c>
      <c r="I58" s="1" t="s">
        <v>45</v>
      </c>
      <c r="K58" s="8">
        <v>45342</v>
      </c>
      <c r="L58" s="4">
        <v>1193912.38234202</v>
      </c>
      <c r="M58" s="9">
        <v>1091390.9216451801</v>
      </c>
      <c r="N58" s="3">
        <f t="shared" si="0"/>
        <v>102521.46069683996</v>
      </c>
      <c r="O58" s="5">
        <f t="shared" si="1"/>
        <v>9.3936515929871831E-2</v>
      </c>
      <c r="AB58" s="8">
        <v>45342</v>
      </c>
      <c r="AC58">
        <v>1182947.6487302601</v>
      </c>
      <c r="AD58">
        <v>1091390.9216451801</v>
      </c>
      <c r="AE58" s="12">
        <f t="shared" si="2"/>
        <v>91556.727085079998</v>
      </c>
      <c r="AS58" s="8">
        <v>45342</v>
      </c>
      <c r="AT58">
        <v>1193912.38234202</v>
      </c>
      <c r="AU58">
        <v>1182947.6487302601</v>
      </c>
      <c r="AV58">
        <v>1091390.9216451801</v>
      </c>
      <c r="AW58">
        <f t="shared" si="4"/>
        <v>102521.46069683996</v>
      </c>
    </row>
    <row r="59" spans="1:49">
      <c r="A59" s="1"/>
      <c r="C59" t="s">
        <v>3</v>
      </c>
      <c r="D59" t="s">
        <v>42</v>
      </c>
      <c r="E59">
        <v>0.17</v>
      </c>
      <c r="F59" s="11">
        <f>ROUND(F69*E59,0)</f>
        <v>208901</v>
      </c>
      <c r="G59">
        <f>ROUND(F59/H59,2)</f>
        <v>2345.62</v>
      </c>
      <c r="H59">
        <v>89.059997558593693</v>
      </c>
      <c r="I59">
        <v>93.470001220703097</v>
      </c>
      <c r="K59" s="8">
        <v>45343</v>
      </c>
      <c r="L59" s="4">
        <v>1188280.22053749</v>
      </c>
      <c r="M59" s="9">
        <v>1092745.2831171399</v>
      </c>
      <c r="N59" s="3">
        <f t="shared" si="0"/>
        <v>95534.937420350034</v>
      </c>
      <c r="O59" s="5">
        <f t="shared" si="1"/>
        <v>8.7426538367504344E-2</v>
      </c>
      <c r="AB59" s="8">
        <v>45343</v>
      </c>
      <c r="AC59">
        <v>1180544.9213670599</v>
      </c>
      <c r="AD59">
        <v>1092745.2831171399</v>
      </c>
      <c r="AE59" s="12">
        <f t="shared" si="2"/>
        <v>87799.638249919983</v>
      </c>
      <c r="AS59" s="8">
        <v>45343</v>
      </c>
      <c r="AT59">
        <v>1188280.22053749</v>
      </c>
      <c r="AU59">
        <v>1180544.9213670599</v>
      </c>
      <c r="AV59">
        <v>1092745.2831171399</v>
      </c>
      <c r="AW59">
        <f t="shared" si="4"/>
        <v>95534.937420350034</v>
      </c>
    </row>
    <row r="60" spans="1:49">
      <c r="A60" s="1"/>
      <c r="D60" t="s">
        <v>10</v>
      </c>
      <c r="E60">
        <v>0.17</v>
      </c>
      <c r="F60" s="11">
        <f>ROUND(F69*E60,0)</f>
        <v>208901</v>
      </c>
      <c r="G60">
        <f t="shared" ref="G60:G64" si="8">ROUND(F60/H60,2)</f>
        <v>289.64</v>
      </c>
      <c r="H60">
        <v>721.239990234375</v>
      </c>
      <c r="I60">
        <v>763.40997314453102</v>
      </c>
      <c r="K60" s="8">
        <v>45344</v>
      </c>
      <c r="L60" s="4">
        <v>1209227.1044411501</v>
      </c>
      <c r="M60" s="9">
        <v>1120007.2286962899</v>
      </c>
      <c r="N60" s="3">
        <f t="shared" si="0"/>
        <v>89219.875744860154</v>
      </c>
      <c r="O60" s="5">
        <f t="shared" si="1"/>
        <v>7.9660089202025788E-2</v>
      </c>
      <c r="AB60" s="8">
        <v>45344</v>
      </c>
      <c r="AC60">
        <v>1197563.2083765401</v>
      </c>
      <c r="AD60">
        <v>1120007.2286962899</v>
      </c>
      <c r="AE60" s="12">
        <f t="shared" si="2"/>
        <v>77555.979680250166</v>
      </c>
      <c r="AS60" s="8">
        <v>45344</v>
      </c>
      <c r="AT60">
        <v>1209227.1044411501</v>
      </c>
      <c r="AU60">
        <v>1197563.2083765401</v>
      </c>
      <c r="AV60">
        <v>1120007.2286962899</v>
      </c>
      <c r="AW60">
        <f t="shared" si="4"/>
        <v>89219.875744860154</v>
      </c>
    </row>
    <row r="61" spans="1:49">
      <c r="A61" s="1"/>
      <c r="D61" t="s">
        <v>21</v>
      </c>
      <c r="E61">
        <v>7.5282655761366293E-2</v>
      </c>
      <c r="F61" s="11">
        <f>ROUND(F69*E61,0)</f>
        <v>92509</v>
      </c>
      <c r="G61">
        <f t="shared" si="8"/>
        <v>317.3</v>
      </c>
      <c r="H61">
        <v>291.54998779296801</v>
      </c>
      <c r="I61">
        <v>292.739990234375</v>
      </c>
      <c r="K61" s="8">
        <v>45345</v>
      </c>
      <c r="L61" s="4">
        <v>1215623.22003479</v>
      </c>
      <c r="M61" s="9">
        <v>1119390.34371182</v>
      </c>
      <c r="N61" s="3">
        <f t="shared" si="0"/>
        <v>96232.876322970027</v>
      </c>
      <c r="O61" s="5">
        <f t="shared" si="1"/>
        <v>8.5969007025617675E-2</v>
      </c>
      <c r="AB61" s="8">
        <v>45345</v>
      </c>
      <c r="AC61">
        <v>1202342.17417969</v>
      </c>
      <c r="AD61">
        <v>1119390.34371182</v>
      </c>
      <c r="AE61" s="12">
        <f t="shared" si="2"/>
        <v>82951.830467869993</v>
      </c>
      <c r="AS61" s="8">
        <v>45345</v>
      </c>
      <c r="AT61">
        <v>1215623.22003479</v>
      </c>
      <c r="AU61">
        <v>1202342.17417969</v>
      </c>
      <c r="AV61">
        <v>1119390.34371182</v>
      </c>
      <c r="AW61">
        <f t="shared" si="4"/>
        <v>96232.876322970027</v>
      </c>
    </row>
    <row r="62" spans="1:49">
      <c r="A62" s="1"/>
      <c r="D62" t="s">
        <v>23</v>
      </c>
      <c r="E62">
        <v>0.17</v>
      </c>
      <c r="F62" s="11">
        <f>ROUND(F69*E62,0)</f>
        <v>208901</v>
      </c>
      <c r="G62">
        <f t="shared" si="8"/>
        <v>1100.46</v>
      </c>
      <c r="H62">
        <v>189.83000183105401</v>
      </c>
      <c r="I62">
        <v>168.22999572753901</v>
      </c>
      <c r="K62" s="8">
        <v>45348</v>
      </c>
      <c r="L62" s="4">
        <v>1209975.4377218699</v>
      </c>
      <c r="M62" s="9">
        <v>1114126.2132184501</v>
      </c>
      <c r="N62" s="3">
        <f t="shared" si="0"/>
        <v>95849.224503419828</v>
      </c>
      <c r="O62" s="5">
        <f t="shared" si="1"/>
        <v>8.6030849437187043E-2</v>
      </c>
      <c r="AB62" s="8">
        <v>45348</v>
      </c>
      <c r="AC62">
        <v>1200349.24009141</v>
      </c>
      <c r="AD62">
        <v>1114126.2132184501</v>
      </c>
      <c r="AE62" s="12">
        <f t="shared" si="2"/>
        <v>86223.026872959919</v>
      </c>
      <c r="AS62" s="8">
        <v>45348</v>
      </c>
      <c r="AT62">
        <v>1209975.4377218699</v>
      </c>
      <c r="AU62">
        <v>1200349.24009141</v>
      </c>
      <c r="AV62">
        <v>1114126.2132184501</v>
      </c>
      <c r="AW62">
        <f t="shared" si="4"/>
        <v>95849.224503419828</v>
      </c>
    </row>
    <row r="63" spans="1:49">
      <c r="A63" s="1"/>
      <c r="D63" t="s">
        <v>0</v>
      </c>
      <c r="E63">
        <v>0.17</v>
      </c>
      <c r="F63" s="11">
        <f>ROUND(F69*E63,0)</f>
        <v>208901</v>
      </c>
      <c r="G63">
        <f t="shared" si="8"/>
        <v>274.67</v>
      </c>
      <c r="H63">
        <v>760.54998779296795</v>
      </c>
      <c r="I63">
        <v>773.68127441406205</v>
      </c>
      <c r="K63" s="8">
        <v>45349</v>
      </c>
      <c r="L63" s="4">
        <v>1203767.2631033701</v>
      </c>
      <c r="M63" s="9">
        <v>1115202.25176607</v>
      </c>
      <c r="N63" s="3">
        <f t="shared" si="0"/>
        <v>88565.011337300064</v>
      </c>
      <c r="O63" s="5">
        <f t="shared" si="1"/>
        <v>7.9416098019032572E-2</v>
      </c>
      <c r="AB63" s="8">
        <v>45349</v>
      </c>
      <c r="AC63">
        <v>1199606.869957</v>
      </c>
      <c r="AD63">
        <v>1115202.25176607</v>
      </c>
      <c r="AE63" s="12">
        <f t="shared" si="2"/>
        <v>84404.618190929992</v>
      </c>
      <c r="AS63" s="8">
        <v>45349</v>
      </c>
      <c r="AT63">
        <v>1203767.2631033701</v>
      </c>
      <c r="AU63">
        <v>1199606.869957</v>
      </c>
      <c r="AV63">
        <v>1115202.25176607</v>
      </c>
      <c r="AW63">
        <f t="shared" si="4"/>
        <v>88565.011337300064</v>
      </c>
    </row>
    <row r="64" spans="1:49">
      <c r="A64" s="1"/>
      <c r="D64" t="s">
        <v>16</v>
      </c>
      <c r="E64">
        <v>7.4717344238633604E-2</v>
      </c>
      <c r="F64" s="11">
        <f>ROUND(F69*E64,0)</f>
        <v>91815</v>
      </c>
      <c r="G64">
        <f t="shared" si="8"/>
        <v>1316.16</v>
      </c>
      <c r="H64">
        <v>69.760002136230398</v>
      </c>
      <c r="I64">
        <v>70.430000305175696</v>
      </c>
      <c r="K64" s="8">
        <v>45350</v>
      </c>
      <c r="L64" s="4">
        <v>1202783.9578656401</v>
      </c>
      <c r="M64" s="9">
        <v>1112656.0159647199</v>
      </c>
      <c r="N64" s="3">
        <f t="shared" si="0"/>
        <v>90127.941900920123</v>
      </c>
      <c r="O64" s="5">
        <f t="shared" si="1"/>
        <v>8.1002520642262807E-2</v>
      </c>
      <c r="AB64" s="8">
        <v>45350</v>
      </c>
      <c r="AC64">
        <v>1197371.3667647601</v>
      </c>
      <c r="AD64">
        <v>1112656.0159647199</v>
      </c>
      <c r="AE64" s="12">
        <f t="shared" si="2"/>
        <v>84715.350800040178</v>
      </c>
      <c r="AS64" s="8">
        <v>45350</v>
      </c>
      <c r="AT64">
        <v>1202783.9578656401</v>
      </c>
      <c r="AU64">
        <v>1197371.3667647601</v>
      </c>
      <c r="AV64">
        <v>1112656.0159647199</v>
      </c>
      <c r="AW64">
        <f t="shared" si="4"/>
        <v>90127.941900920123</v>
      </c>
    </row>
    <row r="65" spans="1:49">
      <c r="A65" s="1"/>
      <c r="D65" t="s">
        <v>24</v>
      </c>
      <c r="E65">
        <v>0.17</v>
      </c>
      <c r="F65" s="11">
        <f>ROUND(F69*E65,0)</f>
        <v>208901</v>
      </c>
      <c r="G65">
        <f>ROUND(F65/H65,2)</f>
        <v>1594.79</v>
      </c>
      <c r="H65">
        <v>130.99000549316401</v>
      </c>
      <c r="I65">
        <v>129.55000305175699</v>
      </c>
      <c r="K65" s="8">
        <v>45351</v>
      </c>
      <c r="L65" s="4">
        <v>1195037.4066409301</v>
      </c>
      <c r="M65" s="9">
        <v>1119265.1097190101</v>
      </c>
      <c r="N65" s="3">
        <f t="shared" si="0"/>
        <v>75772.296921920031</v>
      </c>
      <c r="O65" s="5">
        <f t="shared" si="1"/>
        <v>6.7698256886558866E-2</v>
      </c>
      <c r="AB65" s="8">
        <v>45351</v>
      </c>
      <c r="AC65">
        <v>1191343.04206286</v>
      </c>
      <c r="AD65">
        <v>1119265.1097190101</v>
      </c>
      <c r="AE65" s="12">
        <f t="shared" si="2"/>
        <v>72077.932343849912</v>
      </c>
      <c r="AS65" s="8">
        <v>45351</v>
      </c>
      <c r="AT65">
        <v>1195037.4066409301</v>
      </c>
      <c r="AU65">
        <v>1191343.04206286</v>
      </c>
      <c r="AV65">
        <v>1119265.1097190101</v>
      </c>
      <c r="AW65">
        <f t="shared" si="4"/>
        <v>75772.296921920031</v>
      </c>
    </row>
    <row r="66" spans="1:49">
      <c r="A66" s="1"/>
      <c r="K66" s="8">
        <v>45352</v>
      </c>
      <c r="L66" s="4">
        <v>1211194.8768543401</v>
      </c>
      <c r="M66" s="9">
        <v>1128596.6274236599</v>
      </c>
      <c r="N66" s="3">
        <f t="shared" ref="N66:N129" si="9">L66-M66</f>
        <v>82598.249430680182</v>
      </c>
      <c r="O66" s="5">
        <f t="shared" ref="O66:O129" si="10">N66/M66</f>
        <v>7.3186688160883473E-2</v>
      </c>
      <c r="AB66" s="8">
        <v>45352</v>
      </c>
      <c r="AC66">
        <v>1203209.27358768</v>
      </c>
      <c r="AD66">
        <v>1128596.6274236599</v>
      </c>
      <c r="AE66" s="12">
        <f t="shared" ref="AE66:AE129" si="11">AC66-AD66</f>
        <v>74612.646164020058</v>
      </c>
      <c r="AS66" s="8">
        <v>45352</v>
      </c>
      <c r="AT66">
        <v>1211194.8768543401</v>
      </c>
      <c r="AU66">
        <v>1203209.27358768</v>
      </c>
      <c r="AV66">
        <v>1128596.6274236599</v>
      </c>
      <c r="AW66">
        <f t="shared" si="4"/>
        <v>82598.249430680182</v>
      </c>
    </row>
    <row r="67" spans="1:49">
      <c r="A67" s="1"/>
      <c r="K67" s="8">
        <v>45355</v>
      </c>
      <c r="L67" s="4">
        <v>1217028.54211967</v>
      </c>
      <c r="M67" s="9">
        <v>1125438.2623590999</v>
      </c>
      <c r="N67" s="3">
        <f t="shared" si="9"/>
        <v>91590.279760570033</v>
      </c>
      <c r="O67" s="5">
        <f t="shared" si="10"/>
        <v>8.1381878352511358E-2</v>
      </c>
      <c r="AB67" s="8">
        <v>45355</v>
      </c>
      <c r="AC67">
        <v>1209817.2089541799</v>
      </c>
      <c r="AD67">
        <v>1125438.2623590999</v>
      </c>
      <c r="AE67" s="12">
        <f t="shared" si="11"/>
        <v>84378.946595079964</v>
      </c>
      <c r="AS67" s="8">
        <v>45355</v>
      </c>
      <c r="AT67">
        <v>1217028.54211967</v>
      </c>
      <c r="AU67">
        <v>1209817.2089541799</v>
      </c>
      <c r="AV67">
        <v>1125438.2623590999</v>
      </c>
      <c r="AW67">
        <f t="shared" ref="AW67:AW87" si="12">AT67-AV67</f>
        <v>91590.279760570033</v>
      </c>
    </row>
    <row r="68" spans="1:49">
      <c r="A68" s="1"/>
      <c r="K68" s="13">
        <v>45356</v>
      </c>
      <c r="L68" s="4">
        <v>1208452.43225587</v>
      </c>
      <c r="M68" s="9">
        <v>1112943.5106371799</v>
      </c>
      <c r="N68" s="3">
        <f t="shared" si="9"/>
        <v>95508.921618690016</v>
      </c>
      <c r="O68" s="5">
        <f t="shared" si="10"/>
        <v>8.5816504347115935E-2</v>
      </c>
      <c r="AB68" s="13">
        <v>45356</v>
      </c>
      <c r="AC68">
        <v>1202342.9349605199</v>
      </c>
      <c r="AD68">
        <v>1112943.5106371799</v>
      </c>
      <c r="AE68" s="12">
        <f t="shared" si="11"/>
        <v>89399.424323339947</v>
      </c>
      <c r="AS68" s="13">
        <v>45356</v>
      </c>
      <c r="AT68">
        <v>1208452.43225587</v>
      </c>
      <c r="AU68">
        <v>1202342.9349605199</v>
      </c>
      <c r="AV68">
        <v>1112943.5106371799</v>
      </c>
      <c r="AW68">
        <f t="shared" si="12"/>
        <v>95508.921618690016</v>
      </c>
    </row>
    <row r="69" spans="1:49" ht="15.5">
      <c r="A69" s="1"/>
      <c r="D69" s="6" t="s">
        <v>11</v>
      </c>
      <c r="E69" s="7">
        <f>SUM(E59:E65)</f>
        <v>1</v>
      </c>
      <c r="F69" s="6">
        <f>I55</f>
        <v>1228827.8669106101</v>
      </c>
      <c r="I69">
        <v>1234469.36583793</v>
      </c>
      <c r="K69" s="13">
        <v>45357</v>
      </c>
      <c r="L69" s="4">
        <v>1219665.6203089401</v>
      </c>
      <c r="M69" s="9">
        <v>1117813.36919298</v>
      </c>
      <c r="N69" s="3">
        <f t="shared" si="9"/>
        <v>101852.25111596007</v>
      </c>
      <c r="O69" s="5">
        <f t="shared" si="10"/>
        <v>9.1117402889440868E-2</v>
      </c>
      <c r="AB69" s="13">
        <v>45357</v>
      </c>
      <c r="AC69">
        <v>1213412.82244179</v>
      </c>
      <c r="AD69">
        <v>1117813.36919298</v>
      </c>
      <c r="AE69" s="12">
        <f t="shared" si="11"/>
        <v>95599.453248810023</v>
      </c>
      <c r="AS69" s="13">
        <v>45357</v>
      </c>
      <c r="AT69">
        <v>1219665.6203089401</v>
      </c>
      <c r="AU69">
        <v>1213412.82244179</v>
      </c>
      <c r="AV69">
        <v>1117813.36919298</v>
      </c>
      <c r="AW69">
        <f t="shared" si="12"/>
        <v>101852.25111596007</v>
      </c>
    </row>
    <row r="70" spans="1:49">
      <c r="A70" s="1"/>
      <c r="K70" s="13">
        <v>45358</v>
      </c>
      <c r="L70" s="4">
        <v>1221482.6383200299</v>
      </c>
      <c r="M70" s="9">
        <v>1130600.25807713</v>
      </c>
      <c r="N70" s="3">
        <f t="shared" si="9"/>
        <v>90882.380242899992</v>
      </c>
      <c r="O70" s="5">
        <f t="shared" si="10"/>
        <v>8.0384184943906103E-2</v>
      </c>
      <c r="AB70" s="13">
        <v>45358</v>
      </c>
      <c r="AC70">
        <v>1218547.7606907501</v>
      </c>
      <c r="AD70">
        <v>1130600.25807713</v>
      </c>
      <c r="AE70" s="12">
        <f t="shared" si="11"/>
        <v>87947.502613620134</v>
      </c>
      <c r="AS70" s="13">
        <v>45358</v>
      </c>
      <c r="AT70">
        <v>1221482.6383200299</v>
      </c>
      <c r="AU70">
        <v>1218547.7606907501</v>
      </c>
      <c r="AV70">
        <v>1130600.25807713</v>
      </c>
      <c r="AW70">
        <f t="shared" si="12"/>
        <v>90882.380242899992</v>
      </c>
    </row>
    <row r="71" spans="1:49">
      <c r="A71" s="1"/>
      <c r="K71" s="13">
        <v>45359</v>
      </c>
      <c r="L71" s="4">
        <v>1200075.4730892901</v>
      </c>
      <c r="M71" s="9">
        <v>1121240.88543376</v>
      </c>
      <c r="N71" s="3">
        <f t="shared" si="9"/>
        <v>78834.587655530078</v>
      </c>
      <c r="O71" s="5">
        <f t="shared" si="10"/>
        <v>7.0310125754139224E-2</v>
      </c>
      <c r="AB71" s="13">
        <v>45359</v>
      </c>
      <c r="AC71">
        <v>1197069.2133798299</v>
      </c>
      <c r="AD71">
        <v>1121240.88543376</v>
      </c>
      <c r="AE71" s="12">
        <f t="shared" si="11"/>
        <v>75828.327946069883</v>
      </c>
      <c r="AS71" s="13">
        <v>45359</v>
      </c>
      <c r="AT71">
        <v>1200075.4730892901</v>
      </c>
      <c r="AU71">
        <v>1197069.2133798299</v>
      </c>
      <c r="AV71">
        <v>1121240.88543376</v>
      </c>
      <c r="AW71">
        <f t="shared" si="12"/>
        <v>78834.587655530078</v>
      </c>
    </row>
    <row r="72" spans="1:49">
      <c r="A72" s="1" t="s">
        <v>47</v>
      </c>
      <c r="B72" t="s">
        <v>46</v>
      </c>
      <c r="C72" s="1" t="s">
        <v>2</v>
      </c>
      <c r="D72" s="1" t="s">
        <v>1</v>
      </c>
      <c r="E72" s="1" t="s">
        <v>4</v>
      </c>
      <c r="F72" s="1" t="s">
        <v>17</v>
      </c>
      <c r="G72" s="1" t="s">
        <v>18</v>
      </c>
      <c r="H72" s="1" t="s">
        <v>19</v>
      </c>
      <c r="I72" s="1" t="s">
        <v>50</v>
      </c>
      <c r="K72" s="13">
        <v>45362</v>
      </c>
      <c r="L72" s="4">
        <v>1187561.8842573499</v>
      </c>
      <c r="M72" s="9">
        <v>1119483.08027612</v>
      </c>
      <c r="N72" s="3">
        <f t="shared" si="9"/>
        <v>68078.803981229896</v>
      </c>
      <c r="O72" s="5">
        <f t="shared" si="10"/>
        <v>6.0812713636045568E-2</v>
      </c>
      <c r="AB72" s="13">
        <v>45362</v>
      </c>
      <c r="AC72">
        <v>1181221.2810221501</v>
      </c>
      <c r="AD72">
        <v>1119483.08027612</v>
      </c>
      <c r="AE72" s="12">
        <f t="shared" si="11"/>
        <v>61738.200746030081</v>
      </c>
      <c r="AS72" s="13">
        <v>45362</v>
      </c>
      <c r="AT72">
        <v>1187561.8842573499</v>
      </c>
      <c r="AU72">
        <v>1181221.2810221501</v>
      </c>
      <c r="AV72">
        <v>1119483.08027612</v>
      </c>
      <c r="AW72">
        <f t="shared" si="12"/>
        <v>68078.803981229896</v>
      </c>
    </row>
    <row r="73" spans="1:49">
      <c r="A73" s="1"/>
      <c r="C73" t="s">
        <v>3</v>
      </c>
      <c r="D73" t="s">
        <v>12</v>
      </c>
      <c r="E73">
        <v>0.1167</v>
      </c>
      <c r="F73" s="11">
        <f>ROUND(F83*E73,0)</f>
        <v>144063</v>
      </c>
      <c r="G73">
        <f>ROUND(F73/H73,2)</f>
        <v>354.51</v>
      </c>
      <c r="H73">
        <v>406.36999511718699</v>
      </c>
      <c r="I73">
        <v>414.79000854492102</v>
      </c>
      <c r="K73" s="8">
        <v>45363</v>
      </c>
      <c r="L73" s="4">
        <v>1205854.98019657</v>
      </c>
      <c r="M73" s="9">
        <v>1135484.0441022899</v>
      </c>
      <c r="N73" s="3">
        <f t="shared" si="9"/>
        <v>70370.936094280099</v>
      </c>
      <c r="O73" s="5">
        <f t="shared" si="10"/>
        <v>6.1974394497031557E-2</v>
      </c>
      <c r="AB73" s="8">
        <v>45363</v>
      </c>
      <c r="AC73">
        <v>1199959.1878514299</v>
      </c>
      <c r="AD73">
        <v>1135484.0441022899</v>
      </c>
      <c r="AE73" s="12">
        <f t="shared" si="11"/>
        <v>64475.14374913997</v>
      </c>
      <c r="AS73" s="8">
        <v>45363</v>
      </c>
      <c r="AT73">
        <v>1205854.98019657</v>
      </c>
      <c r="AU73">
        <v>1199959.1878514299</v>
      </c>
      <c r="AV73">
        <v>1135484.0441022899</v>
      </c>
      <c r="AW73">
        <f t="shared" si="12"/>
        <v>70370.936094280099</v>
      </c>
    </row>
    <row r="74" spans="1:49">
      <c r="A74" s="1"/>
      <c r="D74" t="s">
        <v>42</v>
      </c>
      <c r="E74">
        <v>0.17</v>
      </c>
      <c r="F74" s="11">
        <f>ROUND(F83*E74,0)</f>
        <v>209860</v>
      </c>
      <c r="G74">
        <f t="shared" ref="G74:G78" si="13">ROUND(F74/H74,2)</f>
        <v>2245.21</v>
      </c>
      <c r="H74">
        <v>93.470001220703097</v>
      </c>
      <c r="I74">
        <v>92.470001220703097</v>
      </c>
      <c r="K74" s="8">
        <v>45364</v>
      </c>
      <c r="L74" s="4">
        <v>1204975.81791639</v>
      </c>
      <c r="M74" s="9">
        <v>1132789.3618592001</v>
      </c>
      <c r="N74" s="3">
        <f t="shared" si="9"/>
        <v>72186.456057189964</v>
      </c>
      <c r="O74" s="5">
        <f t="shared" si="10"/>
        <v>6.3724517979859327E-2</v>
      </c>
      <c r="AB74" s="8">
        <v>45364</v>
      </c>
      <c r="AC74">
        <v>1199400.0590789099</v>
      </c>
      <c r="AD74">
        <v>1132789.3618592001</v>
      </c>
      <c r="AE74" s="12">
        <f t="shared" si="11"/>
        <v>66610.697219709866</v>
      </c>
      <c r="AS74" s="8">
        <v>45364</v>
      </c>
      <c r="AT74">
        <v>1204975.81791639</v>
      </c>
      <c r="AU74">
        <v>1199400.0590789099</v>
      </c>
      <c r="AV74">
        <v>1132789.3618592001</v>
      </c>
      <c r="AW74">
        <f t="shared" si="12"/>
        <v>72186.456057189964</v>
      </c>
    </row>
    <row r="75" spans="1:49">
      <c r="A75" s="1"/>
      <c r="D75" t="s">
        <v>10</v>
      </c>
      <c r="E75">
        <v>0.17</v>
      </c>
      <c r="F75" s="11">
        <f>ROUND(F83*E75,0)</f>
        <v>209860</v>
      </c>
      <c r="G75">
        <f t="shared" si="13"/>
        <v>274.89999999999998</v>
      </c>
      <c r="H75">
        <v>763.40997314453102</v>
      </c>
      <c r="I75">
        <v>815.39001464843705</v>
      </c>
      <c r="K75" s="8">
        <v>45365</v>
      </c>
      <c r="L75" s="4">
        <v>1197756.2689338599</v>
      </c>
      <c r="M75" s="9">
        <v>1131968.4337869899</v>
      </c>
      <c r="N75" s="3">
        <f t="shared" si="9"/>
        <v>65787.835146869998</v>
      </c>
      <c r="O75" s="5">
        <f t="shared" si="10"/>
        <v>5.8118082786794159E-2</v>
      </c>
      <c r="AB75" s="8">
        <v>45365</v>
      </c>
      <c r="AC75">
        <v>1192404.08662462</v>
      </c>
      <c r="AD75">
        <v>1131968.4337869899</v>
      </c>
      <c r="AE75" s="12">
        <f t="shared" si="11"/>
        <v>60435.652837630128</v>
      </c>
      <c r="AS75" s="8">
        <v>45365</v>
      </c>
      <c r="AT75">
        <v>1197756.2689338599</v>
      </c>
      <c r="AU75">
        <v>1192404.08662462</v>
      </c>
      <c r="AV75">
        <v>1131968.4337869899</v>
      </c>
      <c r="AW75">
        <f t="shared" si="12"/>
        <v>65787.835146869998</v>
      </c>
    </row>
    <row r="76" spans="1:49">
      <c r="A76" s="1"/>
      <c r="D76" t="s">
        <v>21</v>
      </c>
      <c r="E76">
        <v>0.17</v>
      </c>
      <c r="F76" s="11">
        <f>ROUND(F83*E76,0)</f>
        <v>209860</v>
      </c>
      <c r="G76">
        <f t="shared" si="13"/>
        <v>716.88</v>
      </c>
      <c r="H76">
        <v>292.739990234375</v>
      </c>
      <c r="I76">
        <v>298.260009765625</v>
      </c>
      <c r="K76" s="8">
        <v>45366</v>
      </c>
      <c r="L76" s="4">
        <v>1193041.57200543</v>
      </c>
      <c r="M76" s="9">
        <v>1122400.3755661</v>
      </c>
      <c r="N76" s="3">
        <f t="shared" si="9"/>
        <v>70641.19643933</v>
      </c>
      <c r="O76" s="5">
        <f t="shared" si="10"/>
        <v>6.2937609410279302E-2</v>
      </c>
      <c r="AB76" s="8">
        <v>45366</v>
      </c>
      <c r="AC76">
        <v>1186659.25414928</v>
      </c>
      <c r="AD76">
        <v>1122400.3755661</v>
      </c>
      <c r="AE76" s="12">
        <f t="shared" si="11"/>
        <v>64258.87858318002</v>
      </c>
      <c r="AS76" s="8">
        <v>45366</v>
      </c>
      <c r="AT76">
        <v>1193041.57200543</v>
      </c>
      <c r="AU76">
        <v>1186659.25414928</v>
      </c>
      <c r="AV76">
        <v>1122400.3755661</v>
      </c>
      <c r="AW76">
        <f t="shared" si="12"/>
        <v>70641.19643933</v>
      </c>
    </row>
    <row r="77" spans="1:49">
      <c r="A77" s="1"/>
      <c r="D77" t="s">
        <v>23</v>
      </c>
      <c r="E77">
        <v>0.1308</v>
      </c>
      <c r="F77" s="11">
        <f>ROUND(F83*E77,0)</f>
        <v>161469</v>
      </c>
      <c r="G77">
        <f t="shared" si="13"/>
        <v>959.81</v>
      </c>
      <c r="H77">
        <v>168.22999572753901</v>
      </c>
      <c r="I77">
        <v>165.27999877929599</v>
      </c>
      <c r="K77" s="8">
        <v>45369</v>
      </c>
      <c r="L77" s="4">
        <v>1199562.52985492</v>
      </c>
      <c r="M77" s="9">
        <v>1131439.7561084901</v>
      </c>
      <c r="N77" s="3">
        <f t="shared" si="9"/>
        <v>68122.773746429943</v>
      </c>
      <c r="O77" s="5">
        <f t="shared" si="10"/>
        <v>6.0208927058329274E-2</v>
      </c>
      <c r="AB77" s="8">
        <v>45369</v>
      </c>
      <c r="AC77">
        <v>1192577.55296752</v>
      </c>
      <c r="AD77">
        <v>1131439.7561084901</v>
      </c>
      <c r="AE77" s="12">
        <f t="shared" si="11"/>
        <v>61137.796859029913</v>
      </c>
      <c r="AS77" s="8">
        <v>45369</v>
      </c>
      <c r="AT77">
        <v>1199562.52985492</v>
      </c>
      <c r="AU77">
        <v>1192577.55296752</v>
      </c>
      <c r="AV77">
        <v>1131439.7561084901</v>
      </c>
      <c r="AW77">
        <f t="shared" si="12"/>
        <v>68122.773746429943</v>
      </c>
    </row>
    <row r="78" spans="1:49">
      <c r="A78" s="1"/>
      <c r="D78" t="s">
        <v>0</v>
      </c>
      <c r="E78">
        <v>7.2499999999999995E-2</v>
      </c>
      <c r="F78" s="11">
        <f>ROUND(F83*E78,0)</f>
        <v>89499</v>
      </c>
      <c r="G78">
        <f t="shared" si="13"/>
        <v>115.68</v>
      </c>
      <c r="H78">
        <v>773.68127441406205</v>
      </c>
      <c r="I78">
        <v>831.260009765625</v>
      </c>
      <c r="K78" s="8">
        <v>45370</v>
      </c>
      <c r="L78" s="4">
        <v>1207697.1674337201</v>
      </c>
      <c r="M78" s="9">
        <v>1137742.78523117</v>
      </c>
      <c r="N78" s="3">
        <f t="shared" si="9"/>
        <v>69954.38220255007</v>
      </c>
      <c r="O78" s="5">
        <f t="shared" si="10"/>
        <v>6.1485234721428299E-2</v>
      </c>
      <c r="AB78" s="8">
        <v>45370</v>
      </c>
      <c r="AC78">
        <v>1201159.6697591101</v>
      </c>
      <c r="AD78">
        <v>1137742.78523117</v>
      </c>
      <c r="AE78" s="12">
        <f t="shared" si="11"/>
        <v>63416.88452794007</v>
      </c>
      <c r="AS78" s="8">
        <v>45370</v>
      </c>
      <c r="AT78">
        <v>1207697.1674337201</v>
      </c>
      <c r="AU78">
        <v>1201159.6697591101</v>
      </c>
      <c r="AV78">
        <v>1137742.78523117</v>
      </c>
      <c r="AW78">
        <f t="shared" si="12"/>
        <v>69954.38220255007</v>
      </c>
    </row>
    <row r="79" spans="1:49">
      <c r="A79" s="1"/>
      <c r="D79" t="s">
        <v>24</v>
      </c>
      <c r="E79">
        <v>0.17</v>
      </c>
      <c r="F79" s="11">
        <f>ROUND(F83*E79,0)</f>
        <v>209860</v>
      </c>
      <c r="G79">
        <f>ROUND(F79/H79,2)</f>
        <v>1619.92</v>
      </c>
      <c r="H79">
        <v>129.55000305175699</v>
      </c>
      <c r="I79">
        <v>128.419998168945</v>
      </c>
      <c r="K79" s="8">
        <v>45371</v>
      </c>
      <c r="L79" s="4">
        <v>1217443.6696355499</v>
      </c>
      <c r="M79" s="9">
        <v>1148637.3499853001</v>
      </c>
      <c r="N79" s="3">
        <f t="shared" si="9"/>
        <v>68806.319650249789</v>
      </c>
      <c r="O79" s="5">
        <f t="shared" si="10"/>
        <v>5.990256163194619E-2</v>
      </c>
      <c r="AB79" s="8">
        <v>45371</v>
      </c>
      <c r="AC79">
        <v>1209204.49627017</v>
      </c>
      <c r="AD79">
        <v>1148637.3499853001</v>
      </c>
      <c r="AE79" s="12">
        <f t="shared" si="11"/>
        <v>60567.146284869872</v>
      </c>
      <c r="AS79" s="8">
        <v>45371</v>
      </c>
      <c r="AT79">
        <v>1217443.6696355499</v>
      </c>
      <c r="AU79">
        <v>1209204.49627017</v>
      </c>
      <c r="AV79">
        <v>1148637.3499853001</v>
      </c>
      <c r="AW79">
        <f t="shared" si="12"/>
        <v>68806.319650249789</v>
      </c>
    </row>
    <row r="80" spans="1:49">
      <c r="A80" s="1"/>
      <c r="K80" s="8">
        <v>45372</v>
      </c>
      <c r="L80" s="4">
        <v>1214718.66464093</v>
      </c>
      <c r="M80" s="9">
        <v>1149217.09505146</v>
      </c>
      <c r="N80" s="3">
        <f t="shared" si="9"/>
        <v>65501.569589470048</v>
      </c>
      <c r="O80" s="5">
        <f t="shared" si="10"/>
        <v>5.6996689199560677E-2</v>
      </c>
      <c r="AB80" s="8">
        <v>45372</v>
      </c>
      <c r="AC80">
        <v>1204661.00571638</v>
      </c>
      <c r="AD80">
        <v>1149217.09505146</v>
      </c>
      <c r="AE80" s="12">
        <f t="shared" si="11"/>
        <v>55443.910664919997</v>
      </c>
      <c r="AS80" s="8">
        <v>45372</v>
      </c>
      <c r="AT80">
        <v>1214718.66464093</v>
      </c>
      <c r="AU80">
        <v>1204661.00571638</v>
      </c>
      <c r="AV80">
        <v>1149217.09505146</v>
      </c>
      <c r="AW80">
        <f t="shared" si="12"/>
        <v>65501.569589470048</v>
      </c>
    </row>
    <row r="81" spans="1:49">
      <c r="A81" s="1"/>
      <c r="K81" s="8">
        <v>45373</v>
      </c>
      <c r="L81" s="4">
        <v>1210759.08483175</v>
      </c>
      <c r="M81" s="9">
        <v>1149945.17332792</v>
      </c>
      <c r="N81" s="3">
        <f t="shared" si="9"/>
        <v>60813.911503829993</v>
      </c>
      <c r="O81" s="5">
        <f t="shared" si="10"/>
        <v>5.2884183450099327E-2</v>
      </c>
      <c r="AB81" s="8">
        <v>45373</v>
      </c>
      <c r="AC81">
        <v>1201072.22566692</v>
      </c>
      <c r="AD81">
        <v>1149945.17332792</v>
      </c>
      <c r="AE81" s="12">
        <f t="shared" si="11"/>
        <v>51127.052338999929</v>
      </c>
      <c r="AS81" s="8">
        <v>45373</v>
      </c>
      <c r="AT81">
        <v>1210759.08483175</v>
      </c>
      <c r="AU81">
        <v>1201072.22566692</v>
      </c>
      <c r="AV81">
        <v>1149945.17332792</v>
      </c>
      <c r="AW81">
        <f t="shared" si="12"/>
        <v>60813.911503829993</v>
      </c>
    </row>
    <row r="82" spans="1:49">
      <c r="A82" s="1"/>
      <c r="K82" s="8">
        <v>45376</v>
      </c>
      <c r="L82" s="4">
        <v>1210002.68100889</v>
      </c>
      <c r="M82" s="9">
        <v>1146258.0173533999</v>
      </c>
      <c r="N82" s="3">
        <f t="shared" si="9"/>
        <v>63744.663655490149</v>
      </c>
      <c r="O82" s="5">
        <f t="shared" si="10"/>
        <v>5.561109513778624E-2</v>
      </c>
      <c r="AB82" s="8">
        <v>45376</v>
      </c>
      <c r="AC82">
        <v>1198057.8402549101</v>
      </c>
      <c r="AD82">
        <v>1146258.0173533999</v>
      </c>
      <c r="AE82" s="12">
        <f t="shared" si="11"/>
        <v>51799.822901510168</v>
      </c>
      <c r="AS82" s="8">
        <v>45376</v>
      </c>
      <c r="AT82">
        <v>1210002.68100889</v>
      </c>
      <c r="AU82">
        <v>1198057.8402549101</v>
      </c>
      <c r="AV82">
        <v>1146258.0173533999</v>
      </c>
      <c r="AW82">
        <f t="shared" si="12"/>
        <v>63744.663655490149</v>
      </c>
    </row>
    <row r="83" spans="1:49" ht="15.5">
      <c r="A83" s="1"/>
      <c r="D83" s="6" t="s">
        <v>11</v>
      </c>
      <c r="E83" s="7">
        <f>SUM(E73:E79)</f>
        <v>1</v>
      </c>
      <c r="F83" s="6">
        <f>I69</f>
        <v>1234469.36583793</v>
      </c>
      <c r="I83">
        <v>1255454.27818742</v>
      </c>
      <c r="K83" s="8">
        <v>45377</v>
      </c>
      <c r="L83" s="4">
        <v>1210779.3665626999</v>
      </c>
      <c r="M83" s="9">
        <v>1142079.2103872199</v>
      </c>
      <c r="N83" s="3">
        <f t="shared" si="9"/>
        <v>68700.156175479991</v>
      </c>
      <c r="O83" s="5">
        <f t="shared" si="10"/>
        <v>6.015358265053028E-2</v>
      </c>
      <c r="AB83" s="8">
        <v>45377</v>
      </c>
      <c r="AC83">
        <v>1197141.15441838</v>
      </c>
      <c r="AD83">
        <v>1142079.2103872199</v>
      </c>
      <c r="AE83" s="12">
        <f t="shared" si="11"/>
        <v>55061.944031160092</v>
      </c>
      <c r="AS83" s="8">
        <v>45377</v>
      </c>
      <c r="AT83">
        <v>1210779.3665626999</v>
      </c>
      <c r="AU83">
        <v>1197141.15441838</v>
      </c>
      <c r="AV83">
        <v>1142079.2103872199</v>
      </c>
      <c r="AW83">
        <f t="shared" si="12"/>
        <v>68700.156175479991</v>
      </c>
    </row>
    <row r="84" spans="1:49">
      <c r="A84" s="1"/>
      <c r="K84" s="8">
        <v>45378</v>
      </c>
      <c r="L84" s="4">
        <v>1230519.1555376099</v>
      </c>
      <c r="M84" s="9">
        <v>1149666.96363503</v>
      </c>
      <c r="N84" s="3">
        <f t="shared" si="9"/>
        <v>80852.191902579973</v>
      </c>
      <c r="O84" s="5">
        <f t="shared" si="10"/>
        <v>7.0326620195243841E-2</v>
      </c>
      <c r="AB84" s="8">
        <v>45378</v>
      </c>
      <c r="AC84">
        <v>1215004.0026068899</v>
      </c>
      <c r="AD84">
        <v>1149666.96363503</v>
      </c>
      <c r="AE84" s="12">
        <f t="shared" si="11"/>
        <v>65337.038971859962</v>
      </c>
      <c r="AS84" s="8">
        <v>45378</v>
      </c>
      <c r="AT84">
        <v>1230519.1555376099</v>
      </c>
      <c r="AU84">
        <v>1215004.0026068899</v>
      </c>
      <c r="AV84">
        <v>1149666.96363503</v>
      </c>
      <c r="AW84">
        <f t="shared" si="12"/>
        <v>80852.191902579973</v>
      </c>
    </row>
    <row r="85" spans="1:49">
      <c r="A85" s="1"/>
      <c r="K85" s="8">
        <v>45379</v>
      </c>
      <c r="L85" s="4">
        <v>1231896.1469008201</v>
      </c>
      <c r="M85" s="9">
        <v>1149680.8911043999</v>
      </c>
      <c r="N85" s="3">
        <f t="shared" si="9"/>
        <v>82215.255796420155</v>
      </c>
      <c r="O85" s="5">
        <f t="shared" si="10"/>
        <v>7.1511370183288861E-2</v>
      </c>
      <c r="AB85" s="8">
        <v>45379</v>
      </c>
      <c r="AC85">
        <v>1216202.3476390401</v>
      </c>
      <c r="AD85">
        <v>1149680.8911043999</v>
      </c>
      <c r="AE85" s="12">
        <f t="shared" si="11"/>
        <v>66521.456534640165</v>
      </c>
      <c r="AS85" s="8">
        <v>45379</v>
      </c>
      <c r="AT85">
        <v>1231896.1469008201</v>
      </c>
      <c r="AU85">
        <v>1216202.3476390401</v>
      </c>
      <c r="AV85">
        <v>1149680.8911043999</v>
      </c>
      <c r="AW85">
        <f t="shared" si="12"/>
        <v>82215.255796420155</v>
      </c>
    </row>
    <row r="86" spans="1:49">
      <c r="A86" s="1" t="s">
        <v>48</v>
      </c>
      <c r="B86" t="s">
        <v>49</v>
      </c>
      <c r="C86" s="1" t="s">
        <v>2</v>
      </c>
      <c r="D86" s="1" t="s">
        <v>1</v>
      </c>
      <c r="E86" s="1" t="s">
        <v>4</v>
      </c>
      <c r="F86" s="1" t="s">
        <v>17</v>
      </c>
      <c r="G86" s="1" t="s">
        <v>18</v>
      </c>
      <c r="H86" s="1" t="s">
        <v>19</v>
      </c>
      <c r="I86" s="1" t="s">
        <v>56</v>
      </c>
      <c r="K86" s="8">
        <v>45383</v>
      </c>
      <c r="L86" s="4">
        <v>1228827.8669106101</v>
      </c>
      <c r="M86" s="9">
        <v>1148887.70473946</v>
      </c>
      <c r="N86" s="3">
        <f t="shared" si="9"/>
        <v>79940.162171150092</v>
      </c>
      <c r="O86" s="5">
        <f t="shared" si="10"/>
        <v>6.9580483663787301E-2</v>
      </c>
      <c r="AB86" s="8">
        <v>45383</v>
      </c>
      <c r="AC86">
        <v>1208919.3862269199</v>
      </c>
      <c r="AD86">
        <v>1148887.70473946</v>
      </c>
      <c r="AE86" s="12">
        <f t="shared" si="11"/>
        <v>60031.681487459922</v>
      </c>
      <c r="AS86" s="8">
        <v>45383</v>
      </c>
      <c r="AT86">
        <v>1228827.8669106101</v>
      </c>
      <c r="AU86">
        <v>1208919.3862269199</v>
      </c>
      <c r="AV86">
        <v>1148887.70473946</v>
      </c>
      <c r="AW86">
        <f t="shared" si="12"/>
        <v>79940.162171150092</v>
      </c>
    </row>
    <row r="87" spans="1:49">
      <c r="A87" s="1"/>
      <c r="C87" t="s">
        <v>3</v>
      </c>
      <c r="D87" t="s">
        <v>12</v>
      </c>
      <c r="E87">
        <v>7.3239267607323896E-2</v>
      </c>
      <c r="F87" s="11">
        <f>ROUND(F97*E87,0)</f>
        <v>91949</v>
      </c>
      <c r="G87">
        <f>ROUND(F87/H87,2)</f>
        <v>221.68</v>
      </c>
      <c r="H87">
        <v>414.79000854492102</v>
      </c>
      <c r="I87">
        <v>405.19000244140602</v>
      </c>
      <c r="K87" s="8">
        <v>45384</v>
      </c>
      <c r="L87" s="4">
        <v>1223840.8311288401</v>
      </c>
      <c r="M87" s="9">
        <v>1141318.63468225</v>
      </c>
      <c r="N87" s="3">
        <f t="shared" si="9"/>
        <v>82522.196446590126</v>
      </c>
      <c r="O87" s="5">
        <f t="shared" si="10"/>
        <v>7.2304257495598337E-2</v>
      </c>
      <c r="AB87" s="8">
        <v>45384</v>
      </c>
      <c r="AC87">
        <v>1202527.11867158</v>
      </c>
      <c r="AD87">
        <v>1141318.63468225</v>
      </c>
      <c r="AE87" s="12">
        <f t="shared" si="11"/>
        <v>61208.483989330009</v>
      </c>
      <c r="AS87" s="8">
        <v>45384</v>
      </c>
      <c r="AT87">
        <v>1223840.8291448201</v>
      </c>
      <c r="AU87">
        <v>1202527.11867158</v>
      </c>
      <c r="AV87">
        <v>1141318.63468225</v>
      </c>
      <c r="AW87">
        <f t="shared" si="12"/>
        <v>82522.194462570129</v>
      </c>
    </row>
    <row r="88" spans="1:49">
      <c r="A88" s="1"/>
      <c r="D88" t="s">
        <v>42</v>
      </c>
      <c r="E88">
        <v>0.169998300016999</v>
      </c>
      <c r="F88" s="11">
        <f>ROUND(F97*E88,0)</f>
        <v>213425</v>
      </c>
      <c r="G88">
        <f t="shared" ref="G88:G92" si="14">ROUND(F88/H88,2)</f>
        <v>2308.0500000000002</v>
      </c>
      <c r="H88">
        <v>92.470001220703097</v>
      </c>
      <c r="I88">
        <v>95.540000915527301</v>
      </c>
      <c r="K88" s="8">
        <v>45385</v>
      </c>
      <c r="L88" s="4">
        <v>1223440.7449080599</v>
      </c>
      <c r="M88" s="9">
        <v>1141981.8313331299</v>
      </c>
      <c r="N88" s="3">
        <f t="shared" si="9"/>
        <v>81458.913574930048</v>
      </c>
      <c r="O88" s="5">
        <f t="shared" si="10"/>
        <v>7.1331181757801093E-2</v>
      </c>
      <c r="AB88" s="8"/>
      <c r="AE88" s="12">
        <f t="shared" si="11"/>
        <v>0</v>
      </c>
      <c r="AS88" s="8"/>
    </row>
    <row r="89" spans="1:49">
      <c r="A89" s="1"/>
      <c r="D89" t="s">
        <v>10</v>
      </c>
      <c r="E89">
        <v>0.169998300016999</v>
      </c>
      <c r="F89" s="11">
        <f>ROUND(F97*E89,0)</f>
        <v>213425</v>
      </c>
      <c r="G89">
        <f t="shared" si="14"/>
        <v>261.75</v>
      </c>
      <c r="H89">
        <v>815.39001464843705</v>
      </c>
      <c r="I89">
        <v>845.66998291015602</v>
      </c>
      <c r="K89" s="8">
        <v>45386</v>
      </c>
      <c r="L89" s="4">
        <v>1213363.24473865</v>
      </c>
      <c r="M89" s="9">
        <v>1127209.88175465</v>
      </c>
      <c r="N89" s="3">
        <f t="shared" si="9"/>
        <v>86153.362984000007</v>
      </c>
      <c r="O89" s="5">
        <f t="shared" si="10"/>
        <v>7.6430631401040408E-2</v>
      </c>
      <c r="AB89" s="8"/>
      <c r="AE89" s="12">
        <f t="shared" si="11"/>
        <v>0</v>
      </c>
      <c r="AS89" s="8"/>
    </row>
    <row r="90" spans="1:49">
      <c r="A90" s="1"/>
      <c r="D90" t="s">
        <v>51</v>
      </c>
      <c r="E90">
        <v>5.02394976050239E-2</v>
      </c>
      <c r="F90" s="11">
        <f>ROUND(F97*E90,0)</f>
        <v>63073</v>
      </c>
      <c r="G90">
        <f t="shared" si="14"/>
        <v>609.92999999999995</v>
      </c>
      <c r="H90">
        <v>103.41000366210901</v>
      </c>
      <c r="I90">
        <v>99.349998474121094</v>
      </c>
      <c r="K90" s="8">
        <v>45387</v>
      </c>
      <c r="L90" s="4">
        <v>1223659.1589224699</v>
      </c>
      <c r="M90" s="9">
        <v>1140613.65562327</v>
      </c>
      <c r="N90" s="3">
        <f t="shared" si="9"/>
        <v>83045.503299199976</v>
      </c>
      <c r="O90" s="5">
        <f t="shared" si="10"/>
        <v>7.2807740719026459E-2</v>
      </c>
      <c r="AB90" s="8"/>
      <c r="AE90" s="12">
        <f t="shared" si="11"/>
        <v>0</v>
      </c>
      <c r="AS90" s="8"/>
    </row>
    <row r="91" spans="1:49">
      <c r="A91" s="1"/>
      <c r="D91" t="s">
        <v>21</v>
      </c>
      <c r="E91">
        <v>0.169998300016999</v>
      </c>
      <c r="F91" s="11">
        <f>ROUND(F97*E91,0)</f>
        <v>213425</v>
      </c>
      <c r="G91">
        <f t="shared" si="14"/>
        <v>715.57</v>
      </c>
      <c r="H91">
        <v>298.260009765625</v>
      </c>
      <c r="I91">
        <v>287.86999511718699</v>
      </c>
      <c r="K91" s="8">
        <v>45390</v>
      </c>
      <c r="L91" s="4">
        <v>1218133.9674122899</v>
      </c>
      <c r="M91" s="9">
        <v>1139370.7139062199</v>
      </c>
      <c r="N91" s="3">
        <f t="shared" si="9"/>
        <v>78763.253506070003</v>
      </c>
      <c r="O91" s="5">
        <f t="shared" si="10"/>
        <v>6.912873268090064E-2</v>
      </c>
      <c r="AB91" s="8"/>
      <c r="AE91" s="12">
        <f t="shared" si="11"/>
        <v>0</v>
      </c>
      <c r="AS91" s="8"/>
    </row>
    <row r="92" spans="1:49">
      <c r="A92" s="1"/>
      <c r="D92" t="s">
        <v>0</v>
      </c>
      <c r="E92">
        <v>6.4269357306426897E-2</v>
      </c>
      <c r="F92" s="11">
        <f>ROUND(F97*E92,0)</f>
        <v>80687</v>
      </c>
      <c r="G92">
        <f t="shared" si="14"/>
        <v>97.07</v>
      </c>
      <c r="H92">
        <v>831.260009765625</v>
      </c>
      <c r="I92">
        <v>914.36999511718705</v>
      </c>
      <c r="K92" s="8">
        <v>45391</v>
      </c>
      <c r="L92" s="4">
        <v>1213085.36244411</v>
      </c>
      <c r="M92" s="9">
        <v>1140395.6850661701</v>
      </c>
      <c r="N92" s="3">
        <f t="shared" si="9"/>
        <v>72689.677377939923</v>
      </c>
      <c r="O92" s="5">
        <f t="shared" si="10"/>
        <v>6.3740750977782062E-2</v>
      </c>
      <c r="AB92" s="8"/>
      <c r="AE92" s="12">
        <f t="shared" si="11"/>
        <v>0</v>
      </c>
      <c r="AS92" s="8"/>
    </row>
    <row r="93" spans="1:49">
      <c r="A93" s="1"/>
      <c r="D93" t="s">
        <v>52</v>
      </c>
      <c r="E93">
        <v>7.3469265307346904E-2</v>
      </c>
      <c r="F93" s="11">
        <f>ROUND(F97*E93,0)</f>
        <v>92237</v>
      </c>
      <c r="G93">
        <f>ROUND(F93/H93,2)</f>
        <v>2024.83</v>
      </c>
      <c r="H93">
        <v>45.552860260009702</v>
      </c>
      <c r="I93">
        <v>46.029998779296797</v>
      </c>
      <c r="K93" s="8">
        <v>45392</v>
      </c>
      <c r="L93" s="4">
        <v>1208279.21295195</v>
      </c>
      <c r="M93" s="9">
        <v>1132399.8456428701</v>
      </c>
      <c r="N93" s="3">
        <f t="shared" si="9"/>
        <v>75879.367309079971</v>
      </c>
      <c r="O93" s="5">
        <f t="shared" si="10"/>
        <v>6.7007574754659918E-2</v>
      </c>
      <c r="AB93" s="8"/>
      <c r="AE93" s="12">
        <f t="shared" si="11"/>
        <v>0</v>
      </c>
      <c r="AS93" s="8"/>
    </row>
    <row r="94" spans="1:49">
      <c r="A94" s="1"/>
      <c r="D94" t="s">
        <v>24</v>
      </c>
      <c r="E94">
        <v>0.169998300016999</v>
      </c>
      <c r="F94" s="11">
        <f>ROUND(F97*E94,0)</f>
        <v>213425</v>
      </c>
      <c r="G94">
        <f t="shared" ref="G94:G95" si="15">ROUND(F94/H94,2)</f>
        <v>1671.87</v>
      </c>
      <c r="H94">
        <v>127.65630340576099</v>
      </c>
      <c r="I94">
        <v>127.900001525878</v>
      </c>
      <c r="K94" s="8">
        <v>45393</v>
      </c>
      <c r="L94" s="4">
        <v>1207802.5234207099</v>
      </c>
      <c r="M94" s="9">
        <v>1144537.35211405</v>
      </c>
      <c r="N94" s="3">
        <f t="shared" si="9"/>
        <v>63265.171306659933</v>
      </c>
      <c r="O94" s="5">
        <f t="shared" si="10"/>
        <v>5.5275759406020447E-2</v>
      </c>
      <c r="AB94" s="8"/>
      <c r="AE94" s="12">
        <f t="shared" si="11"/>
        <v>0</v>
      </c>
      <c r="AS94" s="8"/>
    </row>
    <row r="95" spans="1:49">
      <c r="A95" s="1"/>
      <c r="D95" t="s">
        <v>53</v>
      </c>
      <c r="E95">
        <v>5.8789412105878902E-2</v>
      </c>
      <c r="F95" s="11">
        <f>ROUND(F97*E95,0)</f>
        <v>73807</v>
      </c>
      <c r="G95">
        <f t="shared" si="15"/>
        <v>448.27</v>
      </c>
      <c r="H95">
        <v>164.64999389648401</v>
      </c>
      <c r="I95">
        <v>162.72000122070301</v>
      </c>
      <c r="K95" s="8">
        <v>45394</v>
      </c>
      <c r="L95" s="4">
        <v>1200316.84053225</v>
      </c>
      <c r="M95" s="9">
        <v>1128336.98768992</v>
      </c>
      <c r="N95" s="3">
        <f t="shared" si="9"/>
        <v>71979.852842330001</v>
      </c>
      <c r="O95" s="5">
        <f t="shared" si="10"/>
        <v>6.3792868289903909E-2</v>
      </c>
      <c r="AB95" s="8"/>
      <c r="AE95" s="12">
        <f t="shared" si="11"/>
        <v>0</v>
      </c>
      <c r="AS95" s="8"/>
    </row>
    <row r="96" spans="1:49">
      <c r="A96" s="1"/>
      <c r="K96" s="8">
        <v>45397</v>
      </c>
      <c r="L96" s="4">
        <v>1194575.53977979</v>
      </c>
      <c r="M96" s="9">
        <v>1113722.7695327599</v>
      </c>
      <c r="N96" s="3">
        <f t="shared" si="9"/>
        <v>80852.770247030072</v>
      </c>
      <c r="O96" s="5">
        <f t="shared" si="10"/>
        <v>7.2596854853699572E-2</v>
      </c>
      <c r="AB96" s="8"/>
      <c r="AE96" s="12">
        <f t="shared" si="11"/>
        <v>0</v>
      </c>
      <c r="AS96" s="8"/>
    </row>
    <row r="97" spans="1:45" ht="15.5">
      <c r="A97" s="1"/>
      <c r="D97" s="6" t="s">
        <v>11</v>
      </c>
      <c r="E97" s="7">
        <f>SUM(E87:E95)</f>
        <v>0.99999999999999645</v>
      </c>
      <c r="F97" s="6">
        <f>I83</f>
        <v>1255454.27818742</v>
      </c>
      <c r="I97">
        <v>1267002.0440521401</v>
      </c>
      <c r="K97" s="8">
        <v>45398</v>
      </c>
      <c r="L97" s="4">
        <v>1194068.70128482</v>
      </c>
      <c r="M97" s="9">
        <v>1112108.7683270699</v>
      </c>
      <c r="N97" s="3">
        <f t="shared" si="9"/>
        <v>81959.932957750047</v>
      </c>
      <c r="O97" s="5">
        <f t="shared" si="10"/>
        <v>7.3697767063774941E-2</v>
      </c>
      <c r="AB97" s="8"/>
      <c r="AE97" s="12">
        <f t="shared" si="11"/>
        <v>0</v>
      </c>
      <c r="AS97" s="8"/>
    </row>
    <row r="98" spans="1:45">
      <c r="A98" s="1"/>
      <c r="K98" s="8">
        <v>45399</v>
      </c>
      <c r="L98" s="4">
        <v>1196519.0062512599</v>
      </c>
      <c r="M98" s="9">
        <v>1105476.4621238401</v>
      </c>
      <c r="N98" s="3">
        <f t="shared" si="9"/>
        <v>91042.544127419824</v>
      </c>
      <c r="O98" s="5">
        <f t="shared" si="10"/>
        <v>8.2355931805647847E-2</v>
      </c>
      <c r="AB98" s="8"/>
      <c r="AE98" s="12">
        <f t="shared" si="11"/>
        <v>0</v>
      </c>
      <c r="AS98" s="8"/>
    </row>
    <row r="99" spans="1:45">
      <c r="A99" s="1"/>
      <c r="K99" s="8">
        <v>45400</v>
      </c>
      <c r="L99" s="4">
        <v>1193069.9827322001</v>
      </c>
      <c r="M99" s="9">
        <v>1103203.7935256001</v>
      </c>
      <c r="N99" s="3">
        <f t="shared" si="9"/>
        <v>89866.189206599956</v>
      </c>
      <c r="O99" s="5">
        <f t="shared" si="10"/>
        <v>8.1459282259542548E-2</v>
      </c>
      <c r="AB99" s="8"/>
      <c r="AE99" s="12">
        <f t="shared" si="11"/>
        <v>0</v>
      </c>
      <c r="AS99" s="8"/>
    </row>
    <row r="100" spans="1:45">
      <c r="A100" s="1" t="s">
        <v>55</v>
      </c>
      <c r="B100" t="s">
        <v>54</v>
      </c>
      <c r="C100" s="1" t="s">
        <v>2</v>
      </c>
      <c r="D100" s="1" t="s">
        <v>1</v>
      </c>
      <c r="E100" s="1" t="s">
        <v>4</v>
      </c>
      <c r="F100" s="1" t="s">
        <v>17</v>
      </c>
      <c r="G100" s="1" t="s">
        <v>18</v>
      </c>
      <c r="H100" s="1" t="s">
        <v>19</v>
      </c>
      <c r="I100" s="1" t="s">
        <v>57</v>
      </c>
      <c r="K100" s="8">
        <v>45401</v>
      </c>
      <c r="L100" s="4">
        <v>1192645.50431082</v>
      </c>
      <c r="M100" s="9">
        <v>1089308.48189677</v>
      </c>
      <c r="N100" s="3">
        <f t="shared" si="9"/>
        <v>103337.02241405006</v>
      </c>
      <c r="O100" s="5">
        <f t="shared" si="10"/>
        <v>9.4864791866958911E-2</v>
      </c>
      <c r="AB100" s="8"/>
      <c r="AE100" s="12">
        <f t="shared" si="11"/>
        <v>0</v>
      </c>
      <c r="AS100" s="8"/>
    </row>
    <row r="101" spans="1:45">
      <c r="A101" s="1"/>
      <c r="C101" t="s">
        <v>3</v>
      </c>
      <c r="D101" t="s">
        <v>12</v>
      </c>
      <c r="E101">
        <v>0.137502368770134</v>
      </c>
      <c r="F101" s="11">
        <f>ROUND(F111*E101,0)</f>
        <v>174216</v>
      </c>
      <c r="G101">
        <f>ROUND(F101/H101,2)</f>
        <v>429.96</v>
      </c>
      <c r="H101">
        <v>405.19000244140602</v>
      </c>
      <c r="I101">
        <v>431.80999755859301</v>
      </c>
      <c r="K101" s="8">
        <v>45404</v>
      </c>
      <c r="L101" s="4">
        <v>1203349.6452138501</v>
      </c>
      <c r="M101" s="9">
        <v>1099479.61086424</v>
      </c>
      <c r="N101" s="3">
        <f t="shared" si="9"/>
        <v>103870.0343496101</v>
      </c>
      <c r="O101" s="5">
        <f t="shared" si="10"/>
        <v>9.4471996864010616E-2</v>
      </c>
      <c r="AB101" s="8"/>
      <c r="AE101" s="12">
        <f t="shared" si="11"/>
        <v>0</v>
      </c>
      <c r="AS101" s="8"/>
    </row>
    <row r="102" spans="1:45">
      <c r="A102" s="1"/>
      <c r="D102" t="s">
        <v>42</v>
      </c>
      <c r="E102">
        <v>0.17</v>
      </c>
      <c r="F102" s="11">
        <f>ROUND(F111*E102,0)</f>
        <v>215390</v>
      </c>
      <c r="G102">
        <f t="shared" ref="G102:G106" si="16">ROUND(F102/H102,2)</f>
        <v>2254.4499999999998</v>
      </c>
      <c r="H102">
        <v>95.540000915527301</v>
      </c>
      <c r="I102">
        <v>100.930000305175</v>
      </c>
      <c r="K102" s="8">
        <v>45405</v>
      </c>
      <c r="L102" s="4">
        <v>1212411.5967913</v>
      </c>
      <c r="M102" s="9">
        <v>1113871.1027430501</v>
      </c>
      <c r="N102" s="3">
        <f t="shared" si="9"/>
        <v>98540.494048249908</v>
      </c>
      <c r="O102" s="5">
        <f t="shared" si="10"/>
        <v>8.846669404169058E-2</v>
      </c>
      <c r="AB102" s="8"/>
      <c r="AE102" s="12">
        <f t="shared" si="11"/>
        <v>0</v>
      </c>
      <c r="AS102" s="8"/>
    </row>
    <row r="103" spans="1:45">
      <c r="A103" s="1"/>
      <c r="D103" t="s">
        <v>10</v>
      </c>
      <c r="E103">
        <v>0.17</v>
      </c>
      <c r="F103" s="11">
        <f>ROUND(F111*E103,0)</f>
        <v>215390</v>
      </c>
      <c r="G103">
        <f t="shared" si="16"/>
        <v>254.7</v>
      </c>
      <c r="H103">
        <v>845.66998291015602</v>
      </c>
      <c r="I103">
        <v>816.89001464843705</v>
      </c>
      <c r="K103" s="8">
        <v>45406</v>
      </c>
      <c r="L103" s="4">
        <v>1209069.2421659001</v>
      </c>
      <c r="M103" s="9">
        <v>1113398.134942</v>
      </c>
      <c r="N103" s="3">
        <f t="shared" si="9"/>
        <v>95671.107223900035</v>
      </c>
      <c r="O103" s="5">
        <f t="shared" si="10"/>
        <v>8.5927130845143557E-2</v>
      </c>
      <c r="AB103" s="8"/>
      <c r="AE103" s="12">
        <f t="shared" si="11"/>
        <v>0</v>
      </c>
      <c r="AS103" s="8"/>
    </row>
    <row r="104" spans="1:45">
      <c r="A104" s="1"/>
      <c r="D104" t="s">
        <v>21</v>
      </c>
      <c r="E104">
        <v>0.17</v>
      </c>
      <c r="F104" s="11">
        <f>ROUND(F111*E104,0)</f>
        <v>215390</v>
      </c>
      <c r="G104">
        <f t="shared" si="16"/>
        <v>748.22</v>
      </c>
      <c r="H104">
        <v>287.86999511718699</v>
      </c>
      <c r="I104">
        <v>293.45001220703102</v>
      </c>
      <c r="K104" s="8">
        <v>45407</v>
      </c>
      <c r="L104" s="4">
        <v>1197548.21341726</v>
      </c>
      <c r="M104" s="9">
        <v>1105865.9783401701</v>
      </c>
      <c r="N104" s="3">
        <f t="shared" si="9"/>
        <v>91682.235077089863</v>
      </c>
      <c r="O104" s="5">
        <f t="shared" si="10"/>
        <v>8.2905376304910544E-2</v>
      </c>
      <c r="AB104" s="8"/>
      <c r="AE104" s="12">
        <f t="shared" si="11"/>
        <v>0</v>
      </c>
      <c r="AS104" s="8"/>
    </row>
    <row r="105" spans="1:45">
      <c r="A105" s="1"/>
      <c r="D105" t="s">
        <v>0</v>
      </c>
      <c r="E105">
        <v>6.2742719979786393E-2</v>
      </c>
      <c r="F105" s="11">
        <f>ROUND(F111*E105,0)</f>
        <v>79495</v>
      </c>
      <c r="G105">
        <f t="shared" si="16"/>
        <v>86.94</v>
      </c>
      <c r="H105">
        <v>914.36999511718705</v>
      </c>
      <c r="I105">
        <v>832.44000244140602</v>
      </c>
      <c r="K105" s="8">
        <v>45408</v>
      </c>
      <c r="L105" s="4">
        <v>1204503.19152352</v>
      </c>
      <c r="M105" s="9">
        <v>1121602.65994283</v>
      </c>
      <c r="N105" s="3">
        <f t="shared" si="9"/>
        <v>82900.531580690062</v>
      </c>
      <c r="O105" s="5">
        <f t="shared" si="10"/>
        <v>7.3912566848687439E-2</v>
      </c>
      <c r="AB105" s="8"/>
      <c r="AE105" s="12">
        <f t="shared" si="11"/>
        <v>0</v>
      </c>
      <c r="AS105" s="8"/>
    </row>
    <row r="106" spans="1:45">
      <c r="A106" s="1"/>
      <c r="D106" t="s">
        <v>52</v>
      </c>
      <c r="E106">
        <v>6.8857305287094897E-2</v>
      </c>
      <c r="F106" s="11">
        <f>ROUND(F111*E106,0)</f>
        <v>87242</v>
      </c>
      <c r="G106">
        <f t="shared" si="16"/>
        <v>1895.33</v>
      </c>
      <c r="H106">
        <v>46.029998779296797</v>
      </c>
      <c r="I106">
        <v>50.020000457763601</v>
      </c>
      <c r="K106" s="8">
        <v>45411</v>
      </c>
      <c r="L106" s="4">
        <v>1204754.3331969599</v>
      </c>
      <c r="M106" s="9">
        <v>1124209.13487995</v>
      </c>
      <c r="N106" s="3">
        <f t="shared" si="9"/>
        <v>80545.198317009956</v>
      </c>
      <c r="O106" s="5">
        <f t="shared" si="10"/>
        <v>7.1646098415319381E-2</v>
      </c>
      <c r="AB106" s="8"/>
      <c r="AE106" s="12">
        <f t="shared" si="11"/>
        <v>0</v>
      </c>
      <c r="AS106" s="8"/>
    </row>
    <row r="107" spans="1:45">
      <c r="A107" s="1"/>
      <c r="D107" t="s">
        <v>24</v>
      </c>
      <c r="E107">
        <v>5.0897605962983997E-2</v>
      </c>
      <c r="F107" s="11">
        <f>ROUND(F111*E107,0)</f>
        <v>64487</v>
      </c>
      <c r="G107">
        <f>ROUND(F107/H107,2)</f>
        <v>504.2</v>
      </c>
      <c r="H107">
        <v>127.900001525878</v>
      </c>
      <c r="I107">
        <v>113.81999969482401</v>
      </c>
      <c r="K107" s="8">
        <v>45412</v>
      </c>
      <c r="L107" s="4">
        <v>1216323.7094053801</v>
      </c>
      <c r="M107" s="9">
        <v>1106580.2423787201</v>
      </c>
      <c r="N107" s="3">
        <f t="shared" si="9"/>
        <v>109743.46702665999</v>
      </c>
      <c r="O107" s="5">
        <f t="shared" si="10"/>
        <v>9.9173528338761877E-2</v>
      </c>
      <c r="AB107" s="8"/>
      <c r="AE107" s="12">
        <f t="shared" si="11"/>
        <v>0</v>
      </c>
      <c r="AS107" s="8"/>
    </row>
    <row r="108" spans="1:45">
      <c r="A108" s="1"/>
      <c r="D108" t="s">
        <v>53</v>
      </c>
      <c r="E108">
        <v>0.17</v>
      </c>
      <c r="F108" s="11">
        <f>ROUND(F111*E108,0)</f>
        <v>215390</v>
      </c>
      <c r="G108">
        <f>ROUND(F108/H108,2)</f>
        <v>1323.68</v>
      </c>
      <c r="H108">
        <v>162.72000122070301</v>
      </c>
      <c r="I108">
        <v>165.69000244140599</v>
      </c>
      <c r="K108" s="8">
        <v>45413</v>
      </c>
      <c r="L108" s="4">
        <v>1210443.0455964401</v>
      </c>
      <c r="M108" s="9">
        <v>1103356.8824571299</v>
      </c>
      <c r="N108" s="3">
        <f t="shared" si="9"/>
        <v>107086.1631393102</v>
      </c>
      <c r="O108" s="5">
        <f t="shared" si="10"/>
        <v>9.7054873941451986E-2</v>
      </c>
      <c r="AB108" s="8"/>
      <c r="AE108" s="12">
        <f t="shared" si="11"/>
        <v>0</v>
      </c>
      <c r="AS108" s="8"/>
    </row>
    <row r="109" spans="1:45">
      <c r="A109" s="1"/>
      <c r="F109" s="11"/>
      <c r="K109" s="8">
        <v>45414</v>
      </c>
      <c r="L109" s="4">
        <v>1209506.11985305</v>
      </c>
      <c r="M109" s="9">
        <v>1114650.36163863</v>
      </c>
      <c r="N109" s="3">
        <f t="shared" si="9"/>
        <v>94855.75821441994</v>
      </c>
      <c r="O109" s="5">
        <f t="shared" si="10"/>
        <v>8.5099114017218799E-2</v>
      </c>
      <c r="AB109" s="8"/>
      <c r="AE109" s="12">
        <f t="shared" si="11"/>
        <v>0</v>
      </c>
      <c r="AS109" s="8"/>
    </row>
    <row r="110" spans="1:45">
      <c r="A110" s="1"/>
      <c r="K110" s="8">
        <v>45415</v>
      </c>
      <c r="L110" s="4">
        <v>1206380.61986696</v>
      </c>
      <c r="M110" s="9">
        <v>1131133.6914768801</v>
      </c>
      <c r="N110" s="3">
        <f t="shared" si="9"/>
        <v>75246.928390079876</v>
      </c>
      <c r="O110" s="5">
        <f t="shared" si="10"/>
        <v>6.6523461335355236E-2</v>
      </c>
      <c r="AB110" s="8"/>
      <c r="AE110" s="12">
        <f t="shared" si="11"/>
        <v>0</v>
      </c>
      <c r="AS110" s="8"/>
    </row>
    <row r="111" spans="1:45" ht="15.5">
      <c r="A111" s="1"/>
      <c r="D111" s="6" t="s">
        <v>11</v>
      </c>
      <c r="E111" s="7">
        <f>SUM(E101:E109)</f>
        <v>0.99999999999999944</v>
      </c>
      <c r="F111" s="6">
        <f>I97</f>
        <v>1267002.0440521401</v>
      </c>
      <c r="I111">
        <v>1288591.6038146899</v>
      </c>
      <c r="K111" s="8">
        <v>45418</v>
      </c>
      <c r="L111" s="4">
        <v>1223811.81136741</v>
      </c>
      <c r="M111" s="9">
        <v>1143507.7384643101</v>
      </c>
      <c r="N111" s="3">
        <f t="shared" si="9"/>
        <v>80304.072903099936</v>
      </c>
      <c r="O111" s="5">
        <f t="shared" si="10"/>
        <v>7.022608610497505E-2</v>
      </c>
      <c r="AB111" s="8"/>
      <c r="AE111" s="12">
        <f t="shared" si="11"/>
        <v>0</v>
      </c>
      <c r="AS111" s="8"/>
    </row>
    <row r="112" spans="1:45">
      <c r="A112" s="1"/>
      <c r="K112" s="8">
        <v>45419</v>
      </c>
      <c r="L112" s="4">
        <v>1239418.47861728</v>
      </c>
      <c r="M112" s="9">
        <v>1143813.80309592</v>
      </c>
      <c r="N112" s="3">
        <f t="shared" si="9"/>
        <v>95604.675521360012</v>
      </c>
      <c r="O112" s="5">
        <f t="shared" si="10"/>
        <v>8.3584124673605306E-2</v>
      </c>
      <c r="AB112" s="8"/>
      <c r="AE112" s="12">
        <f t="shared" si="11"/>
        <v>0</v>
      </c>
      <c r="AS112" s="8"/>
    </row>
    <row r="113" spans="1:45">
      <c r="A113" s="1"/>
      <c r="K113" s="8">
        <v>45420</v>
      </c>
      <c r="L113" s="4">
        <v>1234469.36583793</v>
      </c>
      <c r="M113" s="9">
        <v>1144602.2337396201</v>
      </c>
      <c r="N113" s="3">
        <f t="shared" si="9"/>
        <v>89867.132098309929</v>
      </c>
      <c r="O113" s="5">
        <f t="shared" si="10"/>
        <v>7.8513853502362951E-2</v>
      </c>
      <c r="AB113" s="8"/>
      <c r="AE113" s="12">
        <f t="shared" si="11"/>
        <v>0</v>
      </c>
      <c r="AS113" s="8"/>
    </row>
    <row r="114" spans="1:45">
      <c r="A114" s="1" t="s">
        <v>58</v>
      </c>
      <c r="B114" t="s">
        <v>59</v>
      </c>
      <c r="C114" s="1" t="s">
        <v>2</v>
      </c>
      <c r="D114" s="1" t="s">
        <v>1</v>
      </c>
      <c r="E114" s="1" t="s">
        <v>4</v>
      </c>
      <c r="F114" s="1" t="s">
        <v>17</v>
      </c>
      <c r="G114" s="1" t="s">
        <v>18</v>
      </c>
      <c r="H114" s="1" t="s">
        <v>19</v>
      </c>
      <c r="I114" s="1" t="s">
        <v>60</v>
      </c>
      <c r="K114" s="8">
        <v>45421</v>
      </c>
      <c r="L114" s="4">
        <v>1242141.58575252</v>
      </c>
      <c r="M114" s="9">
        <v>1148576.9976180601</v>
      </c>
      <c r="N114" s="3">
        <f t="shared" si="9"/>
        <v>93564.588134459918</v>
      </c>
      <c r="O114" s="5">
        <f t="shared" si="10"/>
        <v>8.1461311108002227E-2</v>
      </c>
      <c r="AB114" s="8"/>
      <c r="AE114" s="12">
        <f t="shared" si="11"/>
        <v>0</v>
      </c>
      <c r="AS114" s="8"/>
    </row>
    <row r="115" spans="1:45">
      <c r="A115" s="1"/>
      <c r="C115" t="s">
        <v>3</v>
      </c>
      <c r="D115" t="s">
        <v>12</v>
      </c>
      <c r="E115">
        <v>0.17</v>
      </c>
      <c r="F115" s="11">
        <f>ROUND(F123*E115,0)</f>
        <v>219061</v>
      </c>
      <c r="G115">
        <f t="shared" ref="G115:G120" si="17">ROUND(F115/H115,2)</f>
        <v>507.31</v>
      </c>
      <c r="H115">
        <v>431.80999755859301</v>
      </c>
      <c r="I115">
        <v>475.92001342773398</v>
      </c>
      <c r="K115" s="8">
        <v>45422</v>
      </c>
      <c r="L115" s="4">
        <v>1247389.5316878201</v>
      </c>
      <c r="M115" s="9">
        <v>1150121.47470839</v>
      </c>
      <c r="N115" s="3">
        <f t="shared" si="9"/>
        <v>97268.056979430141</v>
      </c>
      <c r="O115" s="5">
        <f t="shared" si="10"/>
        <v>8.4571985758367121E-2</v>
      </c>
      <c r="AB115" s="8"/>
      <c r="AE115" s="12">
        <f t="shared" si="11"/>
        <v>0</v>
      </c>
      <c r="AS115" s="8"/>
    </row>
    <row r="116" spans="1:45">
      <c r="A116" s="1"/>
      <c r="D116" t="s">
        <v>42</v>
      </c>
      <c r="E116">
        <v>0.17</v>
      </c>
      <c r="F116" s="11">
        <f>ROUND(F123*E116,0)</f>
        <v>219061</v>
      </c>
      <c r="G116">
        <f t="shared" si="17"/>
        <v>2170.4299999999998</v>
      </c>
      <c r="H116">
        <v>100.930000305175</v>
      </c>
      <c r="I116">
        <v>106.5</v>
      </c>
      <c r="K116" s="8">
        <v>45425</v>
      </c>
      <c r="L116" s="4">
        <v>1239143.0431641899</v>
      </c>
      <c r="M116" s="9">
        <v>1151174.30080706</v>
      </c>
      <c r="N116" s="3">
        <f t="shared" si="9"/>
        <v>87968.74235712993</v>
      </c>
      <c r="O116" s="5">
        <f t="shared" si="10"/>
        <v>7.641652727606689E-2</v>
      </c>
      <c r="AB116" s="8"/>
      <c r="AE116" s="12">
        <f t="shared" si="11"/>
        <v>0</v>
      </c>
      <c r="AS116" s="8"/>
    </row>
    <row r="117" spans="1:45">
      <c r="A117" s="1"/>
      <c r="D117" t="s">
        <v>10</v>
      </c>
      <c r="E117">
        <v>0.17</v>
      </c>
      <c r="F117" s="11">
        <f>ROUND(F123*E117,0)</f>
        <v>219061</v>
      </c>
      <c r="G117">
        <f t="shared" si="17"/>
        <v>268.16000000000003</v>
      </c>
      <c r="H117">
        <v>816.89001464843705</v>
      </c>
      <c r="I117">
        <v>892.38000488281205</v>
      </c>
      <c r="K117" s="8">
        <v>45426</v>
      </c>
      <c r="L117" s="4">
        <v>1239691.2487425599</v>
      </c>
      <c r="M117" s="9">
        <v>1157407.69258292</v>
      </c>
      <c r="N117" s="3">
        <f t="shared" si="9"/>
        <v>82283.556159639964</v>
      </c>
      <c r="O117" s="5">
        <f t="shared" si="10"/>
        <v>7.1092975005214026E-2</v>
      </c>
      <c r="AB117" s="8"/>
      <c r="AE117" s="12">
        <f t="shared" si="11"/>
        <v>0</v>
      </c>
      <c r="AS117" s="8"/>
    </row>
    <row r="118" spans="1:45">
      <c r="A118" s="1"/>
      <c r="D118" t="s">
        <v>0</v>
      </c>
      <c r="E118">
        <v>0.15755</v>
      </c>
      <c r="F118" s="11">
        <f>ROUND(F123*E118,0)</f>
        <v>203018</v>
      </c>
      <c r="G118">
        <f t="shared" si="17"/>
        <v>243.88</v>
      </c>
      <c r="H118">
        <v>832.44000244140602</v>
      </c>
      <c r="I118">
        <v>960.02001953125</v>
      </c>
      <c r="K118" s="8">
        <v>45427</v>
      </c>
      <c r="L118" s="4">
        <v>1252039.89706307</v>
      </c>
      <c r="M118" s="9">
        <v>1171261.22180366</v>
      </c>
      <c r="N118" s="3">
        <f t="shared" si="9"/>
        <v>80778.675259409938</v>
      </c>
      <c r="O118" s="5">
        <f t="shared" si="10"/>
        <v>6.8967258332873385E-2</v>
      </c>
      <c r="AB118" s="8"/>
      <c r="AE118" s="12">
        <f t="shared" si="11"/>
        <v>0</v>
      </c>
      <c r="AS118" s="8"/>
    </row>
    <row r="119" spans="1:45">
      <c r="A119" s="1"/>
      <c r="D119" t="s">
        <v>52</v>
      </c>
      <c r="E119">
        <v>0.17</v>
      </c>
      <c r="F119" s="11">
        <f>ROUND(F123*E119,0)</f>
        <v>219061</v>
      </c>
      <c r="G119">
        <f t="shared" si="17"/>
        <v>4379.47</v>
      </c>
      <c r="H119">
        <v>50.020000457763601</v>
      </c>
      <c r="I119">
        <v>53.770000457763601</v>
      </c>
      <c r="K119" s="8">
        <v>45428</v>
      </c>
      <c r="L119" s="4">
        <v>1252121.9956817599</v>
      </c>
      <c r="M119" s="9">
        <v>1168909.85734194</v>
      </c>
      <c r="N119" s="3">
        <f t="shared" si="9"/>
        <v>83212.138339819852</v>
      </c>
      <c r="O119" s="5">
        <f t="shared" si="10"/>
        <v>7.1187814712283567E-2</v>
      </c>
      <c r="AB119" s="8"/>
      <c r="AE119" s="12">
        <f t="shared" si="11"/>
        <v>0</v>
      </c>
      <c r="AS119" s="8"/>
    </row>
    <row r="120" spans="1:45">
      <c r="A120" s="1"/>
      <c r="D120" t="s">
        <v>53</v>
      </c>
      <c r="E120">
        <v>0.16245000000000001</v>
      </c>
      <c r="F120" s="11">
        <f>ROUND(F123*E120,0)</f>
        <v>209332</v>
      </c>
      <c r="G120">
        <f t="shared" si="17"/>
        <v>1263.4000000000001</v>
      </c>
      <c r="H120">
        <v>165.69000244140599</v>
      </c>
      <c r="I120">
        <v>171.53999328613199</v>
      </c>
      <c r="K120" s="8">
        <v>45429</v>
      </c>
      <c r="L120" s="4">
        <v>1256105.74838773</v>
      </c>
      <c r="M120" s="9">
        <v>1169985.7826580999</v>
      </c>
      <c r="N120" s="3">
        <f t="shared" si="9"/>
        <v>86119.965729630087</v>
      </c>
      <c r="O120" s="5">
        <f t="shared" si="10"/>
        <v>7.3607702765390415E-2</v>
      </c>
      <c r="AB120" s="8"/>
      <c r="AE120" s="12">
        <f t="shared" si="11"/>
        <v>0</v>
      </c>
      <c r="AS120" s="8"/>
    </row>
    <row r="121" spans="1:45">
      <c r="A121" s="1"/>
      <c r="F121" s="11"/>
      <c r="K121" s="8">
        <v>45432</v>
      </c>
      <c r="L121" s="4">
        <v>1257442.6194465701</v>
      </c>
      <c r="M121" s="9">
        <v>1171414.3107351901</v>
      </c>
      <c r="N121" s="3">
        <f t="shared" si="9"/>
        <v>86028.308711379999</v>
      </c>
      <c r="O121" s="5">
        <f t="shared" si="10"/>
        <v>7.3439694156875943E-2</v>
      </c>
      <c r="AB121" s="8"/>
      <c r="AE121" s="12">
        <f t="shared" si="11"/>
        <v>0</v>
      </c>
      <c r="AS121" s="8"/>
    </row>
    <row r="122" spans="1:45">
      <c r="A122" s="1"/>
      <c r="F122" s="11"/>
      <c r="K122" s="8">
        <v>45433</v>
      </c>
      <c r="L122" s="4">
        <v>1264934.1307023701</v>
      </c>
      <c r="M122" s="9">
        <v>1176056.91375431</v>
      </c>
      <c r="N122" s="3">
        <f t="shared" si="9"/>
        <v>88877.216948060086</v>
      </c>
      <c r="O122" s="5">
        <f t="shared" si="10"/>
        <v>7.5572207355457471E-2</v>
      </c>
      <c r="AB122" s="8"/>
      <c r="AE122" s="12">
        <f t="shared" si="11"/>
        <v>0</v>
      </c>
      <c r="AS122" s="8"/>
    </row>
    <row r="123" spans="1:45" ht="15.5">
      <c r="A123" s="1"/>
      <c r="D123" s="6" t="s">
        <v>11</v>
      </c>
      <c r="E123" s="7">
        <f>SUM(E115:E120)</f>
        <v>1</v>
      </c>
      <c r="F123" s="6">
        <f>I111</f>
        <v>1288591.6038146899</v>
      </c>
      <c r="I123">
        <v>1398557.4210899</v>
      </c>
      <c r="K123" s="8">
        <v>45434</v>
      </c>
      <c r="L123" s="4">
        <v>1265547.45714113</v>
      </c>
      <c r="M123" s="9">
        <v>1172402.2552083</v>
      </c>
      <c r="N123" s="3">
        <f t="shared" si="9"/>
        <v>93145.201932830038</v>
      </c>
      <c r="O123" s="5">
        <f t="shared" si="10"/>
        <v>7.9448159980109373E-2</v>
      </c>
      <c r="AB123" s="8"/>
      <c r="AE123" s="12">
        <f t="shared" si="11"/>
        <v>0</v>
      </c>
      <c r="AS123" s="8"/>
    </row>
    <row r="124" spans="1:45">
      <c r="A124" s="1"/>
      <c r="K124" s="8">
        <v>45435</v>
      </c>
      <c r="L124" s="4">
        <v>1255500.2505534899</v>
      </c>
      <c r="M124" s="9">
        <v>1166544.4521794</v>
      </c>
      <c r="N124" s="3">
        <f t="shared" si="9"/>
        <v>88955.798374089878</v>
      </c>
      <c r="O124" s="5">
        <f t="shared" si="10"/>
        <v>7.6255815376686201E-2</v>
      </c>
      <c r="AB124" s="8"/>
      <c r="AE124" s="12">
        <f t="shared" si="11"/>
        <v>0</v>
      </c>
      <c r="AS124" s="8"/>
    </row>
    <row r="125" spans="1:45">
      <c r="A125" s="1"/>
      <c r="K125" s="8">
        <v>45436</v>
      </c>
      <c r="L125" s="4">
        <v>1258481.73384405</v>
      </c>
      <c r="M125" s="9">
        <v>1174855.6412138899</v>
      </c>
      <c r="N125" s="3">
        <f t="shared" si="9"/>
        <v>83626.092630160041</v>
      </c>
      <c r="O125" s="5">
        <f t="shared" si="10"/>
        <v>7.1179887721146307E-2</v>
      </c>
      <c r="AB125" s="8"/>
      <c r="AE125" s="12">
        <f t="shared" si="11"/>
        <v>0</v>
      </c>
      <c r="AS125" s="8"/>
    </row>
    <row r="126" spans="1:45">
      <c r="A126" s="1" t="s">
        <v>62</v>
      </c>
      <c r="B126" t="s">
        <v>61</v>
      </c>
      <c r="C126" s="1" t="s">
        <v>2</v>
      </c>
      <c r="D126" s="1" t="s">
        <v>1</v>
      </c>
      <c r="E126" s="1" t="s">
        <v>4</v>
      </c>
      <c r="F126" s="1" t="s">
        <v>17</v>
      </c>
      <c r="G126" s="1" t="s">
        <v>18</v>
      </c>
      <c r="H126" s="1" t="s">
        <v>19</v>
      </c>
      <c r="I126" s="1" t="s">
        <v>64</v>
      </c>
      <c r="K126" s="8">
        <v>45440</v>
      </c>
      <c r="L126" s="4">
        <v>1246856.53164544</v>
      </c>
      <c r="M126" s="9">
        <v>1179558.5966002401</v>
      </c>
      <c r="N126" s="3">
        <f t="shared" si="9"/>
        <v>67297.935045199934</v>
      </c>
      <c r="O126" s="5">
        <f t="shared" si="10"/>
        <v>5.7053490381205399E-2</v>
      </c>
      <c r="AB126" s="8"/>
      <c r="AE126" s="12">
        <f t="shared" si="11"/>
        <v>0</v>
      </c>
      <c r="AS126" s="8"/>
    </row>
    <row r="127" spans="1:45">
      <c r="A127" s="1"/>
      <c r="C127" t="s">
        <v>3</v>
      </c>
      <c r="D127" t="s">
        <v>12</v>
      </c>
      <c r="E127">
        <v>3.9489999999999997E-2</v>
      </c>
      <c r="F127" s="11">
        <f>ROUND(F137*E127,0)</f>
        <v>55229</v>
      </c>
      <c r="G127">
        <f t="shared" ref="G127:G134" si="18">ROUND(F127/H127,2)</f>
        <v>116.05</v>
      </c>
      <c r="H127">
        <v>475.92001342773398</v>
      </c>
      <c r="I127">
        <v>460.260009765625</v>
      </c>
      <c r="K127" s="8">
        <v>45441</v>
      </c>
      <c r="L127" s="4">
        <v>1238480.96033302</v>
      </c>
      <c r="M127" s="9">
        <v>1173190.68585199</v>
      </c>
      <c r="N127" s="3">
        <f t="shared" si="9"/>
        <v>65290.274481029948</v>
      </c>
      <c r="O127" s="5">
        <f t="shared" si="10"/>
        <v>5.5651886149790816E-2</v>
      </c>
      <c r="AB127" s="8"/>
      <c r="AE127" s="12">
        <f t="shared" si="11"/>
        <v>0</v>
      </c>
      <c r="AS127" s="8"/>
    </row>
    <row r="128" spans="1:45">
      <c r="A128" s="1"/>
      <c r="D128" t="s">
        <v>42</v>
      </c>
      <c r="E128">
        <v>0.17</v>
      </c>
      <c r="F128" s="11">
        <f>ROUND(F137*E128,0)</f>
        <v>237755</v>
      </c>
      <c r="G128">
        <f t="shared" si="18"/>
        <v>2232.44</v>
      </c>
      <c r="H128">
        <v>106.5</v>
      </c>
      <c r="I128">
        <v>103.809997558593</v>
      </c>
      <c r="K128" s="8">
        <v>45442</v>
      </c>
      <c r="L128" s="4">
        <v>1240389.67601632</v>
      </c>
      <c r="M128" s="9">
        <v>1161943.6315683799</v>
      </c>
      <c r="N128" s="3">
        <f t="shared" si="9"/>
        <v>78446.044447940076</v>
      </c>
      <c r="O128" s="5">
        <f t="shared" si="10"/>
        <v>6.7512779722415955E-2</v>
      </c>
      <c r="AB128" s="8"/>
      <c r="AE128" s="12">
        <f t="shared" si="11"/>
        <v>0</v>
      </c>
      <c r="AS128" s="8"/>
    </row>
    <row r="129" spans="1:45">
      <c r="A129" s="1"/>
      <c r="D129" t="s">
        <v>10</v>
      </c>
      <c r="E129">
        <v>0.17</v>
      </c>
      <c r="F129" s="11">
        <f>ROUND(F137*E129,0)</f>
        <v>237755</v>
      </c>
      <c r="G129">
        <f t="shared" si="18"/>
        <v>266.43</v>
      </c>
      <c r="H129">
        <v>892.38000488281205</v>
      </c>
      <c r="I129">
        <v>886.52001953125</v>
      </c>
      <c r="K129" s="8">
        <v>45443</v>
      </c>
      <c r="L129" s="4">
        <v>1251565.04176584</v>
      </c>
      <c r="M129" s="9">
        <v>1169531.2715847399</v>
      </c>
      <c r="N129" s="3">
        <f t="shared" si="9"/>
        <v>82033.770181100117</v>
      </c>
      <c r="O129" s="5">
        <f t="shared" si="10"/>
        <v>7.0142434130848502E-2</v>
      </c>
      <c r="AB129" s="8"/>
      <c r="AE129" s="12">
        <f t="shared" si="11"/>
        <v>0</v>
      </c>
      <c r="AS129" s="8"/>
    </row>
    <row r="130" spans="1:45">
      <c r="A130" s="1"/>
      <c r="D130" t="s">
        <v>51</v>
      </c>
      <c r="E130">
        <v>0.17</v>
      </c>
      <c r="F130" s="11">
        <f>ROUND(F137*E130,0)</f>
        <v>237755</v>
      </c>
      <c r="G130">
        <f t="shared" si="18"/>
        <v>2086.4899999999998</v>
      </c>
      <c r="H130">
        <v>113.949996948242</v>
      </c>
      <c r="I130">
        <v>115.300003051757</v>
      </c>
      <c r="K130" s="8">
        <v>45446</v>
      </c>
      <c r="L130" s="4">
        <v>1255454.27818741</v>
      </c>
      <c r="M130" s="9">
        <v>1174535.64911291</v>
      </c>
      <c r="N130" s="3">
        <f t="shared" ref="N130:N193" si="19">L130-M130</f>
        <v>80918.629074499942</v>
      </c>
      <c r="O130" s="5">
        <f t="shared" ref="O130:O193" si="20">N130/M130</f>
        <v>6.8894144792978604E-2</v>
      </c>
      <c r="AB130" s="8"/>
      <c r="AE130" s="12">
        <f t="shared" ref="AE130:AE193" si="21">AC130-AD130</f>
        <v>0</v>
      </c>
      <c r="AS130" s="8"/>
    </row>
    <row r="131" spans="1:45">
      <c r="A131" s="1"/>
      <c r="D131" t="s">
        <v>0</v>
      </c>
      <c r="E131">
        <v>0.10129000000000001</v>
      </c>
      <c r="F131" s="11">
        <f>ROUND(F137*E131,0)</f>
        <v>141660</v>
      </c>
      <c r="G131">
        <f t="shared" si="18"/>
        <v>147.56</v>
      </c>
      <c r="H131">
        <v>960.02001953125</v>
      </c>
      <c r="I131">
        <v>885.94000244140602</v>
      </c>
      <c r="K131" s="8">
        <v>45447</v>
      </c>
      <c r="L131" s="4">
        <v>1262798.9839077699</v>
      </c>
      <c r="M131" s="9">
        <v>1178208.9908495201</v>
      </c>
      <c r="N131" s="3">
        <f t="shared" si="19"/>
        <v>84589.99305824982</v>
      </c>
      <c r="O131" s="5">
        <f t="shared" si="20"/>
        <v>7.1795406175994447E-2</v>
      </c>
      <c r="AB131" s="8"/>
      <c r="AE131" s="12">
        <f t="shared" si="21"/>
        <v>0</v>
      </c>
      <c r="AS131" s="8"/>
    </row>
    <row r="132" spans="1:45">
      <c r="A132" s="1"/>
      <c r="D132" t="s">
        <v>63</v>
      </c>
      <c r="E132">
        <v>0.13988</v>
      </c>
      <c r="F132" s="11">
        <f>ROUND(F137*E132,0)</f>
        <v>195630</v>
      </c>
      <c r="G132">
        <f t="shared" si="18"/>
        <v>344.36</v>
      </c>
      <c r="H132">
        <v>568.09997558593705</v>
      </c>
      <c r="I132">
        <v>584.55999755859295</v>
      </c>
      <c r="K132" s="8">
        <v>45448</v>
      </c>
      <c r="L132" s="4">
        <v>1265404.5092660801</v>
      </c>
      <c r="M132" s="9">
        <v>1193393.6690932801</v>
      </c>
      <c r="N132" s="3">
        <f t="shared" si="19"/>
        <v>72010.840172800003</v>
      </c>
      <c r="O132" s="5">
        <f t="shared" si="20"/>
        <v>6.0341228580098466E-2</v>
      </c>
      <c r="AB132" s="8"/>
      <c r="AE132" s="12">
        <f t="shared" si="21"/>
        <v>0</v>
      </c>
      <c r="AS132" s="8"/>
    </row>
    <row r="133" spans="1:45">
      <c r="A133" s="1"/>
      <c r="D133" t="s">
        <v>52</v>
      </c>
      <c r="E133">
        <v>0.17</v>
      </c>
      <c r="F133" s="11">
        <f>ROUND(F137*E133,0)</f>
        <v>237755</v>
      </c>
      <c r="G133">
        <f>ROUND(F133/H133,2)</f>
        <v>4421.7</v>
      </c>
      <c r="H133">
        <v>53.770000457763601</v>
      </c>
      <c r="I133">
        <v>51.040000915527301</v>
      </c>
      <c r="K133" s="8">
        <v>45449</v>
      </c>
      <c r="L133" s="4">
        <v>1270986.4316881101</v>
      </c>
      <c r="M133" s="9">
        <v>1194460.30942985</v>
      </c>
      <c r="N133" s="3">
        <f t="shared" si="19"/>
        <v>76526.122258260148</v>
      </c>
      <c r="O133" s="5">
        <f t="shared" si="20"/>
        <v>6.4067530460504174E-2</v>
      </c>
      <c r="AB133" s="8"/>
      <c r="AE133" s="12">
        <f t="shared" si="21"/>
        <v>0</v>
      </c>
      <c r="AS133" s="8"/>
    </row>
    <row r="134" spans="1:45">
      <c r="A134" s="1"/>
      <c r="D134" t="s">
        <v>24</v>
      </c>
      <c r="E134">
        <v>3.934E-2</v>
      </c>
      <c r="F134" s="11">
        <f>ROUND(F137*E134,0)</f>
        <v>55019</v>
      </c>
      <c r="G134">
        <f t="shared" si="18"/>
        <v>464.49</v>
      </c>
      <c r="H134">
        <v>118.449996948242</v>
      </c>
      <c r="I134">
        <v>113.559997558593</v>
      </c>
      <c r="K134" s="8">
        <v>45450</v>
      </c>
      <c r="L134" s="4">
        <v>1273479.40325818</v>
      </c>
      <c r="M134" s="9">
        <v>1194200.6696961201</v>
      </c>
      <c r="N134" s="3">
        <f t="shared" si="19"/>
        <v>79278.733562059933</v>
      </c>
      <c r="O134" s="5">
        <f t="shared" si="20"/>
        <v>6.6386442056035222E-2</v>
      </c>
      <c r="AB134" s="8"/>
      <c r="AE134" s="12">
        <f t="shared" si="21"/>
        <v>0</v>
      </c>
      <c r="AS134" s="8"/>
    </row>
    <row r="135" spans="1:45">
      <c r="A135" s="1"/>
      <c r="K135" s="8">
        <v>45453</v>
      </c>
      <c r="L135" s="4">
        <v>1272861.0605681101</v>
      </c>
      <c r="M135" s="9">
        <v>1196417.6284169101</v>
      </c>
      <c r="N135" s="3">
        <f t="shared" si="19"/>
        <v>76443.432151200017</v>
      </c>
      <c r="O135" s="5">
        <f t="shared" si="20"/>
        <v>6.3893602313724956E-2</v>
      </c>
      <c r="AB135" s="8"/>
      <c r="AE135" s="12">
        <f t="shared" si="21"/>
        <v>0</v>
      </c>
      <c r="AS135" s="8"/>
    </row>
    <row r="136" spans="1:45">
      <c r="A136" s="1"/>
      <c r="K136" s="8">
        <v>45454</v>
      </c>
      <c r="L136" s="4">
        <v>1271732.35014938</v>
      </c>
      <c r="M136" s="9">
        <v>1202085.2025959699</v>
      </c>
      <c r="N136" s="3">
        <f t="shared" si="19"/>
        <v>69647.147553410148</v>
      </c>
      <c r="O136" s="5">
        <f t="shared" si="20"/>
        <v>5.7938611508571318E-2</v>
      </c>
      <c r="AB136" s="8"/>
      <c r="AE136" s="12">
        <f t="shared" si="21"/>
        <v>0</v>
      </c>
      <c r="AS136" s="8"/>
    </row>
    <row r="137" spans="1:45" ht="15.5">
      <c r="A137" s="1"/>
      <c r="D137" s="6" t="s">
        <v>11</v>
      </c>
      <c r="E137" s="7">
        <f>SUM(E127:E134)</f>
        <v>1</v>
      </c>
      <c r="F137" s="6">
        <f>I123</f>
        <v>1398557.4210899</v>
      </c>
      <c r="I137">
        <v>1378291.9624214801</v>
      </c>
      <c r="K137" s="8">
        <v>45455</v>
      </c>
      <c r="L137" s="4">
        <v>1265626.6035371199</v>
      </c>
      <c r="M137" s="9">
        <v>1212794.1809900501</v>
      </c>
      <c r="N137" s="3">
        <f t="shared" si="19"/>
        <v>52832.422547069844</v>
      </c>
      <c r="O137" s="5">
        <f t="shared" si="20"/>
        <v>4.3562562696285966E-2</v>
      </c>
      <c r="AB137" s="8"/>
      <c r="AE137" s="12">
        <f t="shared" si="21"/>
        <v>0</v>
      </c>
      <c r="AS137" s="8"/>
    </row>
    <row r="138" spans="1:45">
      <c r="A138" s="1"/>
      <c r="K138" s="8">
        <v>45456</v>
      </c>
      <c r="L138" s="4">
        <v>1267193.14715113</v>
      </c>
      <c r="M138" s="9">
        <v>1218016.5290753299</v>
      </c>
      <c r="N138" s="3">
        <f t="shared" si="19"/>
        <v>49176.618075800128</v>
      </c>
      <c r="O138" s="5">
        <f t="shared" si="20"/>
        <v>4.0374343780977325E-2</v>
      </c>
      <c r="AB138" s="8"/>
      <c r="AE138" s="12">
        <f t="shared" si="21"/>
        <v>0</v>
      </c>
      <c r="AS138" s="8"/>
    </row>
    <row r="139" spans="1:45">
      <c r="A139" s="1"/>
      <c r="K139" s="8">
        <v>45457</v>
      </c>
      <c r="L139" s="4">
        <v>1268437.0269802499</v>
      </c>
      <c r="M139" s="9">
        <v>1220873.58522953</v>
      </c>
      <c r="N139" s="3">
        <f t="shared" si="19"/>
        <v>47563.44175071991</v>
      </c>
      <c r="O139" s="5">
        <f t="shared" si="20"/>
        <v>3.8958531273143859E-2</v>
      </c>
      <c r="AB139" s="8"/>
      <c r="AE139" s="12">
        <f t="shared" si="21"/>
        <v>0</v>
      </c>
      <c r="AS139" s="8"/>
    </row>
    <row r="140" spans="1:45">
      <c r="A140" s="1" t="s">
        <v>65</v>
      </c>
      <c r="B140" t="s">
        <v>66</v>
      </c>
      <c r="C140" s="1" t="s">
        <v>2</v>
      </c>
      <c r="D140" s="1" t="s">
        <v>1</v>
      </c>
      <c r="E140" s="1" t="s">
        <v>4</v>
      </c>
      <c r="F140" s="1" t="s">
        <v>17</v>
      </c>
      <c r="G140" s="1" t="s">
        <v>18</v>
      </c>
      <c r="H140" s="1" t="s">
        <v>19</v>
      </c>
      <c r="I140" s="1" t="s">
        <v>64</v>
      </c>
      <c r="K140" s="8">
        <v>45460</v>
      </c>
      <c r="L140" s="4">
        <v>1275321.9903023599</v>
      </c>
      <c r="M140" s="9">
        <v>1229759.87684039</v>
      </c>
      <c r="N140" s="3">
        <f t="shared" si="19"/>
        <v>45562.113461969886</v>
      </c>
      <c r="O140" s="5">
        <f t="shared" si="20"/>
        <v>3.7049601568586034E-2</v>
      </c>
      <c r="AB140" s="8"/>
      <c r="AE140" s="12">
        <f t="shared" si="21"/>
        <v>0</v>
      </c>
      <c r="AS140" s="8"/>
    </row>
    <row r="141" spans="1:45">
      <c r="A141" s="1"/>
      <c r="C141" t="s">
        <v>3</v>
      </c>
      <c r="D141" t="s">
        <v>42</v>
      </c>
      <c r="E141">
        <v>0.17</v>
      </c>
      <c r="F141" s="11">
        <f>ROUND(F150*E141,0)</f>
        <v>234310</v>
      </c>
      <c r="G141">
        <f t="shared" ref="G141:G146" si="22">ROUND(F141/H141,2)</f>
        <v>2301.19</v>
      </c>
      <c r="H141">
        <v>101.821044921875</v>
      </c>
      <c r="I141">
        <v>93.330001831054602</v>
      </c>
      <c r="K141" s="8">
        <v>45461</v>
      </c>
      <c r="L141" s="4">
        <v>1283288.7630957901</v>
      </c>
      <c r="M141" s="9">
        <v>1231805.1766705001</v>
      </c>
      <c r="N141" s="3">
        <f t="shared" si="19"/>
        <v>51483.586425289977</v>
      </c>
      <c r="O141" s="5">
        <f t="shared" si="20"/>
        <v>4.1795234668884254E-2</v>
      </c>
      <c r="AB141" s="8"/>
      <c r="AE141" s="12">
        <f t="shared" si="21"/>
        <v>0</v>
      </c>
      <c r="AS141" s="8"/>
    </row>
    <row r="142" spans="1:45">
      <c r="A142" s="1"/>
      <c r="D142" t="s">
        <v>10</v>
      </c>
      <c r="E142">
        <v>0.16414999999999999</v>
      </c>
      <c r="F142" s="11">
        <f>ROUND(F150*E142,0)</f>
        <v>226247</v>
      </c>
      <c r="G142">
        <f t="shared" si="22"/>
        <v>258.20999999999998</v>
      </c>
      <c r="H142">
        <v>876.21575927734295</v>
      </c>
      <c r="I142">
        <v>877.30999755859295</v>
      </c>
      <c r="K142" s="8">
        <v>45463</v>
      </c>
      <c r="L142" s="4">
        <v>1285604.7236213901</v>
      </c>
      <c r="M142" s="9">
        <v>1228354.56121223</v>
      </c>
      <c r="N142" s="3">
        <f t="shared" si="19"/>
        <v>57250.162409160053</v>
      </c>
      <c r="O142" s="5">
        <f t="shared" si="20"/>
        <v>4.660719650249958E-2</v>
      </c>
      <c r="AB142" s="8"/>
      <c r="AE142" s="12">
        <f t="shared" si="21"/>
        <v>0</v>
      </c>
      <c r="AS142" s="8"/>
    </row>
    <row r="143" spans="1:45">
      <c r="A143" s="1"/>
      <c r="D143" t="s">
        <v>51</v>
      </c>
      <c r="E143">
        <v>0.17</v>
      </c>
      <c r="F143" s="11">
        <f>ROUND(F150*E143,0)</f>
        <v>234310</v>
      </c>
      <c r="G143">
        <f t="shared" si="22"/>
        <v>2016.09</v>
      </c>
      <c r="H143">
        <v>116.220001220703</v>
      </c>
      <c r="I143">
        <v>112.680000305175</v>
      </c>
      <c r="K143" s="8">
        <v>45464</v>
      </c>
      <c r="L143" s="4">
        <v>1284045.78568065</v>
      </c>
      <c r="M143" s="9">
        <v>1225571.7848946301</v>
      </c>
      <c r="N143" s="3">
        <f t="shared" si="19"/>
        <v>58474.000786019955</v>
      </c>
      <c r="O143" s="5">
        <f t="shared" si="20"/>
        <v>4.7711608170750541E-2</v>
      </c>
      <c r="AB143" s="8"/>
      <c r="AE143" s="12">
        <f t="shared" si="21"/>
        <v>0</v>
      </c>
      <c r="AS143" s="8"/>
    </row>
    <row r="144" spans="1:45">
      <c r="A144" s="1"/>
      <c r="D144" t="s">
        <v>67</v>
      </c>
      <c r="E144">
        <v>0.17</v>
      </c>
      <c r="F144" s="11">
        <f>ROUND(F150*E144,0)</f>
        <v>234310</v>
      </c>
      <c r="G144">
        <f t="shared" si="22"/>
        <v>3267.47</v>
      </c>
      <c r="H144">
        <v>71.709999084472599</v>
      </c>
      <c r="I144">
        <v>65.010002136230398</v>
      </c>
      <c r="K144" s="8">
        <v>45467</v>
      </c>
      <c r="L144" s="4">
        <v>1296034.3521577599</v>
      </c>
      <c r="M144" s="9">
        <v>1218698.29568537</v>
      </c>
      <c r="N144" s="3">
        <f t="shared" si="19"/>
        <v>77336.056472389959</v>
      </c>
      <c r="O144" s="5">
        <f t="shared" si="20"/>
        <v>6.3457917965576385E-2</v>
      </c>
      <c r="AB144" s="8"/>
      <c r="AE144" s="12">
        <f t="shared" si="21"/>
        <v>0</v>
      </c>
      <c r="AS144" s="8"/>
    </row>
    <row r="145" spans="1:45">
      <c r="A145" s="1"/>
      <c r="D145" t="s">
        <v>0</v>
      </c>
      <c r="E145">
        <v>7.1580000000000005E-2</v>
      </c>
      <c r="F145" s="11">
        <f>ROUND(F150*E145,0)</f>
        <v>98658</v>
      </c>
      <c r="G145">
        <f t="shared" si="22"/>
        <v>111.54</v>
      </c>
      <c r="H145">
        <v>884.47998046875</v>
      </c>
      <c r="I145">
        <v>818.92999267578102</v>
      </c>
      <c r="K145" s="8">
        <v>45468</v>
      </c>
      <c r="L145" s="4">
        <v>1294059.59827343</v>
      </c>
      <c r="M145" s="9">
        <v>1227528.9906502301</v>
      </c>
      <c r="N145" s="3">
        <f t="shared" si="19"/>
        <v>66530.607623199932</v>
      </c>
      <c r="O145" s="5">
        <f t="shared" si="20"/>
        <v>5.4198807628940998E-2</v>
      </c>
      <c r="AB145" s="8"/>
      <c r="AE145" s="12">
        <f t="shared" si="21"/>
        <v>0</v>
      </c>
      <c r="AS145" s="8"/>
    </row>
    <row r="146" spans="1:45">
      <c r="A146" s="1"/>
      <c r="D146" t="s">
        <v>53</v>
      </c>
      <c r="E146">
        <v>8.4269999999999998E-2</v>
      </c>
      <c r="F146" s="11">
        <f>ROUND(F150*E146,0)</f>
        <v>116149</v>
      </c>
      <c r="G146">
        <f t="shared" si="22"/>
        <v>675.17</v>
      </c>
      <c r="H146">
        <v>172.028549194335</v>
      </c>
      <c r="I146">
        <v>165.100006103515</v>
      </c>
      <c r="K146" s="8">
        <v>45469</v>
      </c>
      <c r="L146" s="4">
        <v>1289924.65715525</v>
      </c>
      <c r="M146" s="9">
        <v>1233215.1347884501</v>
      </c>
      <c r="N146" s="3">
        <f t="shared" si="19"/>
        <v>56709.52236679988</v>
      </c>
      <c r="O146" s="5">
        <f t="shared" si="20"/>
        <v>4.5985100869304546E-2</v>
      </c>
      <c r="AB146" s="8"/>
      <c r="AE146" s="12">
        <f t="shared" si="21"/>
        <v>0</v>
      </c>
      <c r="AS146" s="8"/>
    </row>
    <row r="147" spans="1:45">
      <c r="A147" s="1"/>
      <c r="D147" t="s">
        <v>68</v>
      </c>
      <c r="E147">
        <v>0.17</v>
      </c>
      <c r="F147" s="11">
        <f>ROUND(F150*E147,0)</f>
        <v>234310</v>
      </c>
      <c r="G147">
        <f>ROUND(F147/H147,2)</f>
        <v>2578.2399999999998</v>
      </c>
      <c r="H147">
        <v>90.879997253417898</v>
      </c>
      <c r="I147">
        <v>88.540000915527301</v>
      </c>
      <c r="K147" s="8">
        <v>45470</v>
      </c>
      <c r="L147" s="4">
        <v>1282335.79678303</v>
      </c>
      <c r="M147" s="9">
        <v>1234249.3909279699</v>
      </c>
      <c r="N147" s="3">
        <f t="shared" si="19"/>
        <v>48086.405855060089</v>
      </c>
      <c r="O147" s="5">
        <f t="shared" si="20"/>
        <v>3.8960040173814742E-2</v>
      </c>
      <c r="AB147" s="8"/>
      <c r="AE147" s="12">
        <f t="shared" si="21"/>
        <v>0</v>
      </c>
      <c r="AS147" s="8"/>
    </row>
    <row r="148" spans="1:45">
      <c r="A148" s="1"/>
      <c r="F148" s="11"/>
      <c r="K148" s="8">
        <v>45471</v>
      </c>
      <c r="L148" s="4">
        <v>1266399.8169122301</v>
      </c>
      <c r="M148" s="9">
        <v>1226837.93906062</v>
      </c>
      <c r="N148" s="3">
        <f t="shared" si="19"/>
        <v>39561.877851610072</v>
      </c>
      <c r="O148" s="5">
        <f t="shared" si="20"/>
        <v>3.2247028390646512E-2</v>
      </c>
      <c r="AB148" s="8"/>
      <c r="AE148" s="12">
        <f t="shared" si="21"/>
        <v>0</v>
      </c>
      <c r="AS148" s="8"/>
    </row>
    <row r="149" spans="1:45">
      <c r="A149" s="1"/>
      <c r="K149" s="8">
        <v>45474</v>
      </c>
      <c r="L149" s="4">
        <v>1267002.0440521301</v>
      </c>
      <c r="M149" s="9">
        <v>1235459.94844796</v>
      </c>
      <c r="N149" s="3">
        <f t="shared" si="19"/>
        <v>31542.095604170114</v>
      </c>
      <c r="O149" s="5">
        <f t="shared" si="20"/>
        <v>2.553065005773332E-2</v>
      </c>
      <c r="AB149" s="8"/>
      <c r="AE149" s="12">
        <f t="shared" si="21"/>
        <v>0</v>
      </c>
      <c r="AS149" s="8"/>
    </row>
    <row r="150" spans="1:45" ht="15.5">
      <c r="A150" s="1"/>
      <c r="D150" s="6" t="s">
        <v>11</v>
      </c>
      <c r="E150" s="7">
        <f>SUM(E141:E148)</f>
        <v>1</v>
      </c>
      <c r="F150" s="6">
        <f>I137</f>
        <v>1378291.9624214801</v>
      </c>
      <c r="I150">
        <v>1311983.3787539599</v>
      </c>
      <c r="K150" s="8">
        <v>45475</v>
      </c>
      <c r="L150" s="4">
        <v>1271919.48787349</v>
      </c>
      <c r="M150" s="9">
        <v>1243780.4224620101</v>
      </c>
      <c r="N150" s="3">
        <f t="shared" si="19"/>
        <v>28139.065411479911</v>
      </c>
      <c r="O150" s="5">
        <f t="shared" si="20"/>
        <v>2.2623820815397492E-2</v>
      </c>
      <c r="AB150" s="8"/>
      <c r="AE150" s="12">
        <f t="shared" si="21"/>
        <v>0</v>
      </c>
      <c r="AS150" s="8"/>
    </row>
    <row r="151" spans="1:45">
      <c r="A151" s="1"/>
      <c r="K151" s="8">
        <v>45476</v>
      </c>
      <c r="L151" s="4">
        <v>1269000.13719244</v>
      </c>
      <c r="M151" s="9">
        <v>1252147.32137395</v>
      </c>
      <c r="N151" s="3">
        <f t="shared" si="19"/>
        <v>16852.815818489995</v>
      </c>
      <c r="O151" s="5">
        <f t="shared" si="20"/>
        <v>1.3459131789698533E-2</v>
      </c>
      <c r="AB151" s="8"/>
      <c r="AE151" s="12">
        <f t="shared" si="21"/>
        <v>0</v>
      </c>
      <c r="AS151" s="8"/>
    </row>
    <row r="152" spans="1:45">
      <c r="A152" s="1"/>
      <c r="K152" s="8">
        <v>45478</v>
      </c>
      <c r="L152" s="4">
        <v>1282304.62496183</v>
      </c>
      <c r="M152" s="9">
        <v>1261937.99264174</v>
      </c>
      <c r="N152" s="3">
        <f t="shared" si="19"/>
        <v>20366.632320089964</v>
      </c>
      <c r="O152" s="5">
        <f t="shared" si="20"/>
        <v>1.613917041791766E-2</v>
      </c>
      <c r="AB152" s="8"/>
      <c r="AE152" s="12">
        <f t="shared" si="21"/>
        <v>0</v>
      </c>
      <c r="AS152" s="8"/>
    </row>
    <row r="153" spans="1:45">
      <c r="A153" s="1" t="s">
        <v>70</v>
      </c>
      <c r="B153" t="s">
        <v>69</v>
      </c>
      <c r="C153" s="1" t="s">
        <v>2</v>
      </c>
      <c r="D153" s="1" t="s">
        <v>1</v>
      </c>
      <c r="E153" s="1" t="s">
        <v>4</v>
      </c>
      <c r="F153" s="1" t="s">
        <v>17</v>
      </c>
      <c r="G153" s="1" t="s">
        <v>18</v>
      </c>
      <c r="H153" s="1" t="s">
        <v>19</v>
      </c>
      <c r="I153" s="1" t="s">
        <v>64</v>
      </c>
      <c r="K153" s="8">
        <v>45481</v>
      </c>
      <c r="L153" s="4">
        <v>1282003.5764053899</v>
      </c>
      <c r="M153" s="9">
        <v>1263218.0742770899</v>
      </c>
      <c r="N153" s="3">
        <f t="shared" si="19"/>
        <v>18785.502128300024</v>
      </c>
      <c r="O153" s="5">
        <f t="shared" si="20"/>
        <v>1.4871147358345492E-2</v>
      </c>
      <c r="AB153" s="8"/>
      <c r="AE153" s="12">
        <f t="shared" si="21"/>
        <v>0</v>
      </c>
      <c r="AS153" s="8"/>
    </row>
    <row r="154" spans="1:45">
      <c r="A154" s="1"/>
      <c r="C154" t="s">
        <v>3</v>
      </c>
      <c r="D154" t="s">
        <v>42</v>
      </c>
      <c r="E154">
        <v>0.17</v>
      </c>
      <c r="F154" s="11">
        <f>ROUND(F163*E154,0)</f>
        <v>223037</v>
      </c>
      <c r="G154">
        <f t="shared" ref="G154:G159" si="23">ROUND(F154/H154,2)</f>
        <v>2190.48</v>
      </c>
      <c r="H154">
        <v>101.821044921875</v>
      </c>
      <c r="I154">
        <v>93.330001831054602</v>
      </c>
      <c r="K154" s="8">
        <v>45482</v>
      </c>
      <c r="L154" s="4">
        <v>1283756.3270596501</v>
      </c>
      <c r="M154" s="9">
        <v>1265625.26184772</v>
      </c>
      <c r="N154" s="3">
        <f t="shared" si="19"/>
        <v>18131.065211930079</v>
      </c>
      <c r="O154" s="5">
        <f t="shared" si="20"/>
        <v>1.4325776956648332E-2</v>
      </c>
      <c r="AB154" s="8"/>
      <c r="AE154" s="12">
        <f t="shared" si="21"/>
        <v>0</v>
      </c>
      <c r="AS154" s="8"/>
    </row>
    <row r="155" spans="1:45">
      <c r="A155" s="1"/>
      <c r="D155" t="s">
        <v>10</v>
      </c>
      <c r="E155">
        <v>0.16414999999999999</v>
      </c>
      <c r="F155" s="11">
        <f>ROUND(F163*E155,0)</f>
        <v>215362</v>
      </c>
      <c r="G155">
        <f t="shared" si="23"/>
        <v>245.79</v>
      </c>
      <c r="H155">
        <v>876.21575927734295</v>
      </c>
      <c r="I155">
        <v>877.30999755859295</v>
      </c>
      <c r="K155" s="8">
        <v>45483</v>
      </c>
      <c r="L155" s="4">
        <v>1290322.3280031499</v>
      </c>
      <c r="M155" s="9">
        <v>1279033.5649746701</v>
      </c>
      <c r="N155" s="3">
        <f t="shared" si="19"/>
        <v>11288.76302847988</v>
      </c>
      <c r="O155" s="5">
        <f t="shared" si="20"/>
        <v>8.826009995057043E-3</v>
      </c>
      <c r="AB155" s="8"/>
      <c r="AE155" s="12">
        <f t="shared" si="21"/>
        <v>0</v>
      </c>
      <c r="AS155" s="8"/>
    </row>
    <row r="156" spans="1:45">
      <c r="A156" s="1"/>
      <c r="D156" t="s">
        <v>51</v>
      </c>
      <c r="E156">
        <v>0.17</v>
      </c>
      <c r="F156" s="11">
        <f>ROUND(F163*E156,0)</f>
        <v>223037</v>
      </c>
      <c r="G156">
        <f t="shared" si="23"/>
        <v>1919.09</v>
      </c>
      <c r="H156">
        <v>116.220001220703</v>
      </c>
      <c r="I156">
        <v>112.680000305175</v>
      </c>
      <c r="K156" s="8">
        <v>45484</v>
      </c>
      <c r="L156" s="4">
        <v>1284347.2872161099</v>
      </c>
      <c r="M156" s="9">
        <v>1258547.7295507099</v>
      </c>
      <c r="N156" s="3">
        <f t="shared" si="19"/>
        <v>25799.557665399974</v>
      </c>
      <c r="O156" s="5">
        <f t="shared" si="20"/>
        <v>2.0499467012355724E-2</v>
      </c>
      <c r="AB156" s="8"/>
      <c r="AE156" s="12">
        <f t="shared" si="21"/>
        <v>0</v>
      </c>
      <c r="AS156" s="8"/>
    </row>
    <row r="157" spans="1:45">
      <c r="A157" s="1"/>
      <c r="D157" t="s">
        <v>67</v>
      </c>
      <c r="E157">
        <v>0.17</v>
      </c>
      <c r="F157" s="11">
        <f>ROUND(F163*E157,0)</f>
        <v>223037</v>
      </c>
      <c r="G157">
        <f t="shared" si="23"/>
        <v>3110.26</v>
      </c>
      <c r="H157">
        <v>71.709999084472599</v>
      </c>
      <c r="I157">
        <v>65.010002136230398</v>
      </c>
      <c r="K157" s="8">
        <v>45485</v>
      </c>
      <c r="L157" s="4">
        <v>1289622.4169512501</v>
      </c>
      <c r="M157" s="9">
        <v>1264206.0187502</v>
      </c>
      <c r="N157" s="3">
        <f t="shared" si="19"/>
        <v>25416.398201050004</v>
      </c>
      <c r="O157" s="5">
        <f t="shared" si="20"/>
        <v>2.0104633124731344E-2</v>
      </c>
      <c r="AB157" s="8"/>
      <c r="AE157" s="12">
        <f t="shared" si="21"/>
        <v>0</v>
      </c>
      <c r="AS157" s="8"/>
    </row>
    <row r="158" spans="1:45">
      <c r="A158" s="1"/>
      <c r="D158" t="s">
        <v>0</v>
      </c>
      <c r="E158">
        <v>7.1580000000000005E-2</v>
      </c>
      <c r="F158" s="11">
        <f>ROUND(F163*E158,0)</f>
        <v>93912</v>
      </c>
      <c r="G158">
        <f t="shared" si="23"/>
        <v>106.18</v>
      </c>
      <c r="H158">
        <v>884.47998046875</v>
      </c>
      <c r="I158">
        <v>818.92999267578102</v>
      </c>
      <c r="K158" s="8">
        <v>45488</v>
      </c>
      <c r="L158" s="4">
        <v>1292354.7209860601</v>
      </c>
      <c r="M158" s="9">
        <v>1268941.3583336</v>
      </c>
      <c r="N158" s="3">
        <f t="shared" si="19"/>
        <v>23413.362652460113</v>
      </c>
      <c r="O158" s="5">
        <f t="shared" si="20"/>
        <v>1.8451099019427521E-2</v>
      </c>
      <c r="AB158" s="8"/>
      <c r="AE158" s="12">
        <f t="shared" si="21"/>
        <v>0</v>
      </c>
      <c r="AS158" s="8"/>
    </row>
    <row r="159" spans="1:45">
      <c r="A159" s="1"/>
      <c r="D159" t="s">
        <v>53</v>
      </c>
      <c r="E159">
        <v>8.4269999999999998E-2</v>
      </c>
      <c r="F159" s="11">
        <f>ROUND(F163*E159,0)</f>
        <v>110561</v>
      </c>
      <c r="G159">
        <f t="shared" si="23"/>
        <v>642.69000000000005</v>
      </c>
      <c r="H159">
        <v>172.028549194335</v>
      </c>
      <c r="I159">
        <v>165.100006103515</v>
      </c>
      <c r="K159" s="8">
        <v>45489</v>
      </c>
      <c r="L159" s="4">
        <v>1301381.48855088</v>
      </c>
      <c r="M159" s="9">
        <v>1272609.94434898</v>
      </c>
      <c r="N159" s="3">
        <f t="shared" si="19"/>
        <v>28771.544201900018</v>
      </c>
      <c r="O159" s="5">
        <f t="shared" si="20"/>
        <v>2.2608297483184034E-2</v>
      </c>
      <c r="AB159" s="8"/>
      <c r="AE159" s="12">
        <f t="shared" si="21"/>
        <v>0</v>
      </c>
      <c r="AS159" s="8"/>
    </row>
    <row r="160" spans="1:45">
      <c r="A160" s="1"/>
      <c r="D160" t="s">
        <v>68</v>
      </c>
      <c r="E160">
        <v>0.17</v>
      </c>
      <c r="F160" s="11">
        <f>ROUND(F163*E160,0)</f>
        <v>223037</v>
      </c>
      <c r="G160">
        <f>ROUND(F160/H160,2)</f>
        <v>2454.19</v>
      </c>
      <c r="H160">
        <v>90.879997253417898</v>
      </c>
      <c r="I160">
        <v>88.540000915527301</v>
      </c>
      <c r="K160" s="8">
        <v>45490</v>
      </c>
      <c r="L160" s="4">
        <v>1310879.88668362</v>
      </c>
      <c r="M160" s="9">
        <v>1253691.7984642801</v>
      </c>
      <c r="N160" s="3">
        <f t="shared" si="19"/>
        <v>57188.088219339959</v>
      </c>
      <c r="O160" s="5">
        <f t="shared" si="20"/>
        <v>4.5615747258929966E-2</v>
      </c>
      <c r="AB160" s="8"/>
      <c r="AE160" s="12">
        <f t="shared" si="21"/>
        <v>0</v>
      </c>
      <c r="AS160" s="8"/>
    </row>
    <row r="161" spans="1:45">
      <c r="A161" s="1"/>
      <c r="F161" s="11"/>
      <c r="K161" s="8">
        <v>45491</v>
      </c>
      <c r="L161" s="4">
        <v>1299276.0858386799</v>
      </c>
      <c r="M161" s="9">
        <v>1243956.72384249</v>
      </c>
      <c r="N161" s="3">
        <f t="shared" si="19"/>
        <v>55319.361996189924</v>
      </c>
      <c r="O161" s="5">
        <f t="shared" si="20"/>
        <v>4.4470487546634678E-2</v>
      </c>
      <c r="AB161" s="8"/>
      <c r="AE161" s="12">
        <f t="shared" si="21"/>
        <v>0</v>
      </c>
      <c r="AS161" s="8"/>
    </row>
    <row r="162" spans="1:45">
      <c r="A162" s="1"/>
      <c r="K162" s="8">
        <v>45492</v>
      </c>
      <c r="L162" s="4">
        <v>1294601.91374974</v>
      </c>
      <c r="M162" s="9">
        <v>1234374.6249207701</v>
      </c>
      <c r="N162" s="3">
        <f t="shared" si="19"/>
        <v>60227.288828969933</v>
      </c>
      <c r="O162" s="5">
        <f t="shared" si="20"/>
        <v>4.8791742484851956E-2</v>
      </c>
      <c r="AB162" s="8"/>
      <c r="AE162" s="12">
        <f t="shared" si="21"/>
        <v>0</v>
      </c>
      <c r="AS162" s="8"/>
    </row>
    <row r="163" spans="1:45" ht="15.5">
      <c r="A163" s="1"/>
      <c r="D163" s="6" t="s">
        <v>11</v>
      </c>
      <c r="E163" s="7">
        <f>SUM(E154:E161)</f>
        <v>1</v>
      </c>
      <c r="F163" s="6">
        <f>I150</f>
        <v>1311983.3787539599</v>
      </c>
      <c r="I163">
        <v>1311983.3787539599</v>
      </c>
      <c r="K163" s="8">
        <v>45495</v>
      </c>
      <c r="L163" s="4">
        <v>1300561.1564174299</v>
      </c>
      <c r="M163" s="9">
        <v>1247602.0974089201</v>
      </c>
      <c r="N163" s="3">
        <f t="shared" si="19"/>
        <v>52959.059008509852</v>
      </c>
      <c r="O163" s="5">
        <f t="shared" si="20"/>
        <v>4.2448677441708195E-2</v>
      </c>
      <c r="AB163" s="8"/>
      <c r="AE163" s="12">
        <f t="shared" si="21"/>
        <v>0</v>
      </c>
      <c r="AS163" s="8"/>
    </row>
    <row r="164" spans="1:45">
      <c r="A164" s="1"/>
      <c r="K164" s="8">
        <v>45496</v>
      </c>
      <c r="L164" s="4">
        <v>1297889.5501893701</v>
      </c>
      <c r="M164" s="9">
        <v>1246943.5432478201</v>
      </c>
      <c r="N164" s="3">
        <f t="shared" si="19"/>
        <v>50946.006941549946</v>
      </c>
      <c r="O164" s="5">
        <f t="shared" si="20"/>
        <v>4.0856706959526583E-2</v>
      </c>
      <c r="AB164" s="8"/>
      <c r="AE164" s="12">
        <f t="shared" si="21"/>
        <v>0</v>
      </c>
      <c r="AS164" s="8"/>
    </row>
    <row r="165" spans="1:45">
      <c r="A165" s="1"/>
      <c r="K165" s="8">
        <v>45497</v>
      </c>
      <c r="L165" s="4">
        <v>1286280.49562283</v>
      </c>
      <c r="M165" s="9">
        <v>1213629.0365316099</v>
      </c>
      <c r="N165" s="3">
        <f t="shared" si="19"/>
        <v>72651.459091220051</v>
      </c>
      <c r="O165" s="5">
        <f t="shared" si="20"/>
        <v>5.9862986880116383E-2</v>
      </c>
      <c r="AB165" s="8"/>
      <c r="AE165" s="12">
        <f t="shared" si="21"/>
        <v>0</v>
      </c>
      <c r="AS165" s="8"/>
    </row>
    <row r="166" spans="1:45">
      <c r="A166" s="1"/>
      <c r="K166" s="8">
        <v>45498</v>
      </c>
      <c r="L166" s="4">
        <v>1283055.9044131199</v>
      </c>
      <c r="M166" s="9">
        <v>1205424.51153079</v>
      </c>
      <c r="N166" s="3">
        <f t="shared" si="19"/>
        <v>77631.392882329877</v>
      </c>
      <c r="O166" s="5">
        <f t="shared" si="20"/>
        <v>6.4401704245871355E-2</v>
      </c>
      <c r="AB166" s="8"/>
      <c r="AE166" s="12">
        <f t="shared" si="21"/>
        <v>0</v>
      </c>
      <c r="AS166" s="8"/>
    </row>
    <row r="167" spans="1:45">
      <c r="A167" s="1"/>
      <c r="K167" s="8">
        <v>45499</v>
      </c>
      <c r="L167" s="4">
        <v>1294185.5920609401</v>
      </c>
      <c r="M167" s="9">
        <v>1217784.63104885</v>
      </c>
      <c r="N167" s="3">
        <f t="shared" si="19"/>
        <v>76400.961012090091</v>
      </c>
      <c r="O167" s="5">
        <f t="shared" si="20"/>
        <v>6.2737662361765631E-2</v>
      </c>
      <c r="AB167" s="8"/>
      <c r="AE167" s="12">
        <f t="shared" si="21"/>
        <v>0</v>
      </c>
      <c r="AS167" s="8"/>
    </row>
    <row r="168" spans="1:45">
      <c r="A168" s="1"/>
      <c r="K168" s="8">
        <v>45502</v>
      </c>
      <c r="L168" s="4">
        <v>1299464.3722359</v>
      </c>
      <c r="M168" s="9">
        <v>1218471.0401486801</v>
      </c>
      <c r="N168" s="3">
        <f t="shared" si="19"/>
        <v>80993.332087219926</v>
      </c>
      <c r="O168" s="5">
        <f t="shared" si="20"/>
        <v>6.6471281974282273E-2</v>
      </c>
      <c r="AB168" s="8"/>
      <c r="AE168" s="12">
        <f t="shared" si="21"/>
        <v>0</v>
      </c>
      <c r="AS168" s="8"/>
    </row>
    <row r="169" spans="1:45">
      <c r="A169" s="1"/>
      <c r="K169" s="8">
        <v>45503</v>
      </c>
      <c r="L169" s="4">
        <v>1282317.9180692199</v>
      </c>
      <c r="M169" s="9">
        <v>1209134.8799542501</v>
      </c>
      <c r="N169" s="3">
        <f t="shared" si="19"/>
        <v>73183.038114969851</v>
      </c>
      <c r="O169" s="5">
        <f t="shared" si="20"/>
        <v>6.0525123646866325E-2</v>
      </c>
      <c r="AB169" s="8"/>
      <c r="AE169" s="12">
        <f t="shared" si="21"/>
        <v>0</v>
      </c>
      <c r="AS169" s="8"/>
    </row>
    <row r="170" spans="1:45">
      <c r="A170" s="1"/>
      <c r="K170" s="8">
        <v>45504</v>
      </c>
      <c r="L170" s="4">
        <v>1281507.6625242699</v>
      </c>
      <c r="M170" s="9">
        <v>1232143.7387306101</v>
      </c>
      <c r="N170" s="3">
        <f t="shared" si="19"/>
        <v>49363.923793659778</v>
      </c>
      <c r="O170" s="5">
        <f t="shared" si="20"/>
        <v>4.0063445718204853E-2</v>
      </c>
      <c r="AB170" s="8"/>
      <c r="AE170" s="12">
        <f t="shared" si="21"/>
        <v>0</v>
      </c>
      <c r="AS170" s="8"/>
    </row>
    <row r="171" spans="1:45">
      <c r="A171" s="1"/>
      <c r="K171" s="8">
        <v>45505</v>
      </c>
      <c r="L171" s="4">
        <v>1288591.6038146899</v>
      </c>
      <c r="M171" s="9">
        <v>1214635.4377324099</v>
      </c>
      <c r="N171" s="3">
        <f t="shared" si="19"/>
        <v>73956.166082279989</v>
      </c>
      <c r="O171" s="5">
        <f t="shared" si="20"/>
        <v>6.0887541878695696E-2</v>
      </c>
      <c r="AB171" s="8"/>
      <c r="AE171" s="12">
        <f t="shared" si="21"/>
        <v>0</v>
      </c>
      <c r="AS171" s="8"/>
    </row>
    <row r="172" spans="1:45">
      <c r="A172" s="1"/>
      <c r="K172" s="8">
        <v>45506</v>
      </c>
      <c r="L172" s="4">
        <v>1295634.4454731799</v>
      </c>
      <c r="M172" s="9">
        <v>1192730.3592109201</v>
      </c>
      <c r="N172" s="3">
        <f t="shared" si="19"/>
        <v>102904.08626225987</v>
      </c>
      <c r="O172" s="5">
        <f t="shared" si="20"/>
        <v>8.6276068574575884E-2</v>
      </c>
      <c r="AB172" s="8"/>
      <c r="AE172" s="12">
        <f t="shared" si="21"/>
        <v>0</v>
      </c>
      <c r="AS172" s="8"/>
    </row>
    <row r="173" spans="1:45">
      <c r="A173" s="1"/>
      <c r="K173" s="8">
        <v>45509</v>
      </c>
      <c r="L173" s="4">
        <v>1261577.47420475</v>
      </c>
      <c r="M173" s="9">
        <v>1152918.17849532</v>
      </c>
      <c r="N173" s="3">
        <f t="shared" si="19"/>
        <v>108659.29570943001</v>
      </c>
      <c r="O173" s="5">
        <f t="shared" si="20"/>
        <v>9.4247187472784807E-2</v>
      </c>
      <c r="AB173" s="8"/>
      <c r="AE173" s="12">
        <f t="shared" si="21"/>
        <v>0</v>
      </c>
      <c r="AS173" s="8"/>
    </row>
    <row r="174" spans="1:45">
      <c r="A174" s="1"/>
      <c r="K174" s="8">
        <v>45510</v>
      </c>
      <c r="L174" s="4">
        <v>1278530.4968272401</v>
      </c>
      <c r="M174" s="9">
        <v>1163441.6837608099</v>
      </c>
      <c r="N174" s="3">
        <f t="shared" si="19"/>
        <v>115088.81306643016</v>
      </c>
      <c r="O174" s="5">
        <f t="shared" si="20"/>
        <v>9.8920998510563143E-2</v>
      </c>
      <c r="AB174" s="8"/>
      <c r="AE174" s="12">
        <f t="shared" si="21"/>
        <v>0</v>
      </c>
      <c r="AS174" s="8"/>
    </row>
    <row r="175" spans="1:45">
      <c r="A175" s="1"/>
      <c r="K175" s="8">
        <v>45511</v>
      </c>
      <c r="L175" s="4">
        <v>1278458.1926647001</v>
      </c>
      <c r="M175" s="9">
        <v>1154346.5933409601</v>
      </c>
      <c r="N175" s="3">
        <f t="shared" si="19"/>
        <v>124111.59932374</v>
      </c>
      <c r="O175" s="5">
        <f t="shared" si="20"/>
        <v>0.10751675453429529</v>
      </c>
      <c r="AB175" s="8"/>
      <c r="AE175" s="12">
        <f t="shared" si="21"/>
        <v>0</v>
      </c>
      <c r="AS175" s="8"/>
    </row>
    <row r="176" spans="1:45">
      <c r="A176" s="1"/>
      <c r="K176" s="8">
        <v>45512</v>
      </c>
      <c r="L176" s="4">
        <v>1309928.7055428601</v>
      </c>
      <c r="M176" s="9">
        <v>1181937.81600066</v>
      </c>
      <c r="N176" s="3">
        <f t="shared" si="19"/>
        <v>127990.88954220014</v>
      </c>
      <c r="O176" s="5">
        <f t="shared" si="20"/>
        <v>0.10828902147769902</v>
      </c>
      <c r="AB176" s="8"/>
      <c r="AE176" s="12">
        <f t="shared" si="21"/>
        <v>0</v>
      </c>
      <c r="AS176" s="8"/>
    </row>
    <row r="177" spans="1:45">
      <c r="A177" s="1"/>
      <c r="K177" s="8">
        <v>45513</v>
      </c>
      <c r="L177" s="4">
        <v>1323566.45513244</v>
      </c>
      <c r="M177" s="9">
        <v>1188468.10066002</v>
      </c>
      <c r="N177" s="3">
        <f t="shared" si="19"/>
        <v>135098.35447241995</v>
      </c>
      <c r="O177" s="5">
        <f t="shared" si="20"/>
        <v>0.11367436315488198</v>
      </c>
      <c r="AB177" s="8"/>
      <c r="AE177" s="12">
        <f t="shared" si="21"/>
        <v>0</v>
      </c>
      <c r="AS177" s="8"/>
    </row>
    <row r="178" spans="1:45">
      <c r="A178" s="1"/>
      <c r="K178" s="8">
        <v>45516</v>
      </c>
      <c r="L178" s="4">
        <v>1316501.08734013</v>
      </c>
      <c r="M178" s="9">
        <v>1190490.30127265</v>
      </c>
      <c r="N178" s="3">
        <f t="shared" si="19"/>
        <v>126010.78606747999</v>
      </c>
      <c r="O178" s="5">
        <f t="shared" si="20"/>
        <v>0.10584780567533626</v>
      </c>
      <c r="AB178" s="8"/>
      <c r="AE178" s="12">
        <f t="shared" si="21"/>
        <v>0</v>
      </c>
      <c r="AS178" s="8"/>
    </row>
    <row r="179" spans="1:45">
      <c r="A179" s="1"/>
      <c r="K179" s="8">
        <v>45517</v>
      </c>
      <c r="L179" s="4">
        <v>1326246.1391916601</v>
      </c>
      <c r="M179" s="9">
        <v>1213735.7005652699</v>
      </c>
      <c r="N179" s="3">
        <f t="shared" si="19"/>
        <v>112510.43862639018</v>
      </c>
      <c r="O179" s="5">
        <f t="shared" si="20"/>
        <v>9.2697642966249563E-2</v>
      </c>
      <c r="AB179" s="8"/>
      <c r="AE179" s="12">
        <f t="shared" si="21"/>
        <v>0</v>
      </c>
      <c r="AS179" s="8"/>
    </row>
    <row r="180" spans="1:45">
      <c r="A180" s="1"/>
      <c r="K180" s="8">
        <v>45518</v>
      </c>
      <c r="L180" s="4">
        <v>1340226.61304583</v>
      </c>
      <c r="M180" s="9">
        <v>1218253.0695915699</v>
      </c>
      <c r="N180" s="3">
        <f t="shared" si="19"/>
        <v>121973.5434542601</v>
      </c>
      <c r="O180" s="5">
        <f t="shared" si="20"/>
        <v>0.10012167955805176</v>
      </c>
      <c r="AB180" s="8"/>
      <c r="AE180" s="12">
        <f t="shared" si="21"/>
        <v>0</v>
      </c>
      <c r="AS180" s="8"/>
    </row>
    <row r="181" spans="1:45">
      <c r="A181" s="1"/>
      <c r="K181" s="8">
        <v>45519</v>
      </c>
      <c r="L181" s="4">
        <v>1340959.2680929101</v>
      </c>
      <c r="M181" s="9">
        <v>1239462.45403366</v>
      </c>
      <c r="N181" s="3">
        <f t="shared" si="19"/>
        <v>101496.81405925006</v>
      </c>
      <c r="O181" s="5">
        <f t="shared" si="20"/>
        <v>8.1887768144119771E-2</v>
      </c>
      <c r="AB181" s="8"/>
      <c r="AE181" s="12">
        <f t="shared" si="21"/>
        <v>0</v>
      </c>
      <c r="AS181" s="8"/>
    </row>
    <row r="182" spans="1:45">
      <c r="A182" s="1"/>
      <c r="K182" s="8">
        <v>45520</v>
      </c>
      <c r="L182" s="4">
        <v>1342393.8597921799</v>
      </c>
      <c r="M182" s="9">
        <v>1242787.94873058</v>
      </c>
      <c r="N182" s="3">
        <f t="shared" si="19"/>
        <v>99605.911061599851</v>
      </c>
      <c r="O182" s="5">
        <f t="shared" si="20"/>
        <v>8.0147149128168033E-2</v>
      </c>
      <c r="AB182" s="8"/>
      <c r="AE182" s="12">
        <f t="shared" si="21"/>
        <v>0</v>
      </c>
      <c r="AS182" s="8"/>
    </row>
    <row r="183" spans="1:45">
      <c r="A183" s="1"/>
      <c r="K183" s="8">
        <v>45523</v>
      </c>
      <c r="L183" s="4">
        <v>1345316.96637273</v>
      </c>
      <c r="M183" s="9">
        <v>1256103.5152932401</v>
      </c>
      <c r="N183" s="3">
        <f t="shared" si="19"/>
        <v>89213.451079489896</v>
      </c>
      <c r="O183" s="5">
        <f t="shared" si="20"/>
        <v>7.1023964182333185E-2</v>
      </c>
      <c r="AB183" s="8"/>
      <c r="AE183" s="12">
        <f t="shared" si="21"/>
        <v>0</v>
      </c>
      <c r="AS183" s="8"/>
    </row>
    <row r="184" spans="1:45">
      <c r="A184" s="1"/>
      <c r="K184" s="8">
        <v>45524</v>
      </c>
      <c r="L184" s="4">
        <v>1358684.6310123401</v>
      </c>
      <c r="M184" s="9">
        <v>1254674.9872161399</v>
      </c>
      <c r="N184" s="3">
        <f t="shared" si="19"/>
        <v>104009.64379620017</v>
      </c>
      <c r="O184" s="5">
        <f t="shared" si="20"/>
        <v>8.2897678566921706E-2</v>
      </c>
      <c r="AB184" s="8"/>
      <c r="AE184" s="12">
        <f t="shared" si="21"/>
        <v>0</v>
      </c>
      <c r="AS184" s="8"/>
    </row>
    <row r="185" spans="1:45">
      <c r="A185" s="1"/>
      <c r="K185" s="8">
        <v>45525</v>
      </c>
      <c r="L185" s="4">
        <v>1361874.47941524</v>
      </c>
      <c r="M185" s="9">
        <v>1258107.03271525</v>
      </c>
      <c r="N185" s="3">
        <f t="shared" si="19"/>
        <v>103767.44669998996</v>
      </c>
      <c r="O185" s="5">
        <f t="shared" si="20"/>
        <v>8.2479029209493224E-2</v>
      </c>
      <c r="AB185" s="8"/>
      <c r="AE185" s="12">
        <f t="shared" si="21"/>
        <v>0</v>
      </c>
      <c r="AS185" s="8"/>
    </row>
    <row r="186" spans="1:45">
      <c r="A186" s="1"/>
      <c r="K186" s="8">
        <v>45526</v>
      </c>
      <c r="L186" s="4">
        <v>1363726.15611983</v>
      </c>
      <c r="M186" s="9">
        <v>1244054.10289657</v>
      </c>
      <c r="N186" s="3">
        <f t="shared" si="19"/>
        <v>119672.05322325998</v>
      </c>
      <c r="O186" s="5">
        <f t="shared" si="20"/>
        <v>9.6195216063854297E-2</v>
      </c>
      <c r="AB186" s="8"/>
      <c r="AE186" s="12">
        <f t="shared" si="21"/>
        <v>0</v>
      </c>
      <c r="AS186" s="8"/>
    </row>
    <row r="187" spans="1:45">
      <c r="A187" s="1"/>
      <c r="K187" s="8">
        <v>45527</v>
      </c>
      <c r="L187" s="4">
        <v>1368023.83772922</v>
      </c>
      <c r="M187" s="9">
        <v>1258844.5092027399</v>
      </c>
      <c r="N187" s="3">
        <f t="shared" si="19"/>
        <v>109179.32852648012</v>
      </c>
      <c r="O187" s="5">
        <f t="shared" si="20"/>
        <v>8.6729796832196795E-2</v>
      </c>
      <c r="AB187" s="8"/>
      <c r="AE187" s="12">
        <f t="shared" si="21"/>
        <v>0</v>
      </c>
      <c r="AS187" s="8"/>
    </row>
    <row r="188" spans="1:45">
      <c r="A188" s="1"/>
      <c r="K188" s="8">
        <v>45530</v>
      </c>
      <c r="L188" s="4">
        <v>1376197.03212863</v>
      </c>
      <c r="M188" s="9">
        <v>1254401.30678158</v>
      </c>
      <c r="N188" s="3">
        <f t="shared" si="19"/>
        <v>121795.72534705</v>
      </c>
      <c r="O188" s="5">
        <f t="shared" si="20"/>
        <v>9.7094705409341092E-2</v>
      </c>
      <c r="AB188" s="8"/>
      <c r="AE188" s="12">
        <f t="shared" si="21"/>
        <v>0</v>
      </c>
      <c r="AS188" s="8"/>
    </row>
    <row r="189" spans="1:45">
      <c r="A189" s="1"/>
      <c r="K189" s="8">
        <v>45531</v>
      </c>
      <c r="L189" s="4">
        <v>1386397.3401351499</v>
      </c>
      <c r="M189" s="9">
        <v>1256469.93229209</v>
      </c>
      <c r="N189" s="3">
        <f t="shared" si="19"/>
        <v>129927.40784305986</v>
      </c>
      <c r="O189" s="5">
        <f t="shared" si="20"/>
        <v>0.10340669880260676</v>
      </c>
      <c r="AB189" s="8"/>
      <c r="AE189" s="12">
        <f t="shared" si="21"/>
        <v>0</v>
      </c>
      <c r="AS189" s="8"/>
    </row>
    <row r="190" spans="1:45">
      <c r="A190" s="1"/>
      <c r="K190" s="8">
        <v>45532</v>
      </c>
      <c r="L190" s="4">
        <v>1381859.5539773901</v>
      </c>
      <c r="M190" s="9">
        <v>1247523.28831398</v>
      </c>
      <c r="N190" s="3">
        <f t="shared" si="19"/>
        <v>134336.26566341007</v>
      </c>
      <c r="O190" s="5">
        <f t="shared" si="20"/>
        <v>0.10768237108019418</v>
      </c>
      <c r="AB190" s="8"/>
      <c r="AE190" s="12">
        <f t="shared" si="21"/>
        <v>0</v>
      </c>
      <c r="AS190" s="8"/>
    </row>
    <row r="191" spans="1:45">
      <c r="A191" s="1"/>
      <c r="K191" s="8">
        <v>45533</v>
      </c>
      <c r="L191" s="4">
        <v>1383143.8948793199</v>
      </c>
      <c r="M191" s="9">
        <v>1245065.1465871499</v>
      </c>
      <c r="N191" s="3">
        <f t="shared" si="19"/>
        <v>138078.74829217</v>
      </c>
      <c r="O191" s="5">
        <f t="shared" si="20"/>
        <v>0.11090082207397571</v>
      </c>
      <c r="AB191" s="8"/>
      <c r="AE191" s="12">
        <f t="shared" si="21"/>
        <v>0</v>
      </c>
      <c r="AS191" s="8"/>
    </row>
    <row r="192" spans="1:45">
      <c r="A192" s="1"/>
      <c r="K192" s="8">
        <v>45534</v>
      </c>
      <c r="L192" s="4">
        <v>1398557.4210899</v>
      </c>
      <c r="M192" s="9">
        <v>1258120.96018462</v>
      </c>
      <c r="N192" s="3">
        <f t="shared" si="19"/>
        <v>140436.46090527996</v>
      </c>
      <c r="O192" s="5">
        <f t="shared" si="20"/>
        <v>0.11162397364771028</v>
      </c>
      <c r="AB192" s="8"/>
      <c r="AE192" s="12">
        <f t="shared" si="21"/>
        <v>0</v>
      </c>
      <c r="AS192" s="8"/>
    </row>
    <row r="193" spans="1:45">
      <c r="A193" s="1"/>
      <c r="K193" s="8">
        <v>45538</v>
      </c>
      <c r="L193" s="4">
        <v>1402409.2693099701</v>
      </c>
      <c r="M193" s="9">
        <v>1229105.96516906</v>
      </c>
      <c r="N193" s="3">
        <f t="shared" si="19"/>
        <v>173303.30414091004</v>
      </c>
      <c r="O193" s="5">
        <f t="shared" si="20"/>
        <v>0.14099948177948404</v>
      </c>
      <c r="AB193" s="8"/>
      <c r="AE193" s="12">
        <f t="shared" si="21"/>
        <v>0</v>
      </c>
      <c r="AS193" s="8"/>
    </row>
    <row r="194" spans="1:45">
      <c r="A194" s="1"/>
      <c r="K194" s="8">
        <v>45539</v>
      </c>
      <c r="L194" s="4">
        <v>1414099.1408754</v>
      </c>
      <c r="M194" s="9">
        <v>1226796.26988398</v>
      </c>
      <c r="N194" s="3">
        <f t="shared" ref="N194:N257" si="24">L194-M194</f>
        <v>187302.87099142</v>
      </c>
      <c r="O194" s="5">
        <f t="shared" ref="O194:O257" si="25">N194/M194</f>
        <v>0.15267642687659419</v>
      </c>
      <c r="AB194" s="8"/>
      <c r="AE194" s="12">
        <f t="shared" ref="AE194:AE257" si="26">AC194-AD194</f>
        <v>0</v>
      </c>
      <c r="AS194" s="8"/>
    </row>
    <row r="195" spans="1:45">
      <c r="A195" s="1"/>
      <c r="K195" s="8">
        <v>45540</v>
      </c>
      <c r="L195" s="4">
        <v>1402719.61194376</v>
      </c>
      <c r="M195" s="9">
        <v>1225409.4109835101</v>
      </c>
      <c r="N195" s="3">
        <f t="shared" si="24"/>
        <v>177310.20096024987</v>
      </c>
      <c r="O195" s="5">
        <f t="shared" si="25"/>
        <v>0.14469466234794232</v>
      </c>
      <c r="AB195" s="8"/>
      <c r="AE195" s="12">
        <f t="shared" si="26"/>
        <v>0</v>
      </c>
      <c r="AS195" s="8"/>
    </row>
    <row r="196" spans="1:45">
      <c r="A196" s="1"/>
      <c r="K196" s="8">
        <v>45541</v>
      </c>
      <c r="L196" s="4">
        <v>1392513.06917831</v>
      </c>
      <c r="M196" s="9">
        <v>1200967.3816402601</v>
      </c>
      <c r="N196" s="3">
        <f t="shared" si="24"/>
        <v>191545.68753804988</v>
      </c>
      <c r="O196" s="5">
        <f t="shared" si="25"/>
        <v>0.15949283091805555</v>
      </c>
      <c r="AB196" s="8"/>
      <c r="AE196" s="12">
        <f t="shared" si="26"/>
        <v>0</v>
      </c>
      <c r="AS196" s="8"/>
    </row>
    <row r="197" spans="1:45">
      <c r="A197" s="1"/>
      <c r="K197" s="14">
        <v>45544</v>
      </c>
      <c r="L197" s="4">
        <v>1402386.4356406301</v>
      </c>
      <c r="M197" s="9">
        <v>1215154.9436627901</v>
      </c>
      <c r="N197" s="3">
        <f t="shared" si="24"/>
        <v>187231.49197783996</v>
      </c>
      <c r="O197" s="5">
        <f t="shared" si="25"/>
        <v>0.15408034420160116</v>
      </c>
      <c r="AB197" s="10"/>
      <c r="AE197" s="12">
        <f t="shared" si="26"/>
        <v>0</v>
      </c>
      <c r="AS197" s="10"/>
    </row>
    <row r="198" spans="1:45">
      <c r="A198" s="1"/>
      <c r="K198" s="8">
        <v>45545</v>
      </c>
      <c r="L198" s="4">
        <v>1397826.7529625299</v>
      </c>
      <c r="M198" s="9">
        <v>1222427.2340679599</v>
      </c>
      <c r="N198" s="3">
        <f t="shared" si="24"/>
        <v>175399.51889456995</v>
      </c>
      <c r="O198" s="5">
        <f t="shared" si="25"/>
        <v>0.14348462960112582</v>
      </c>
      <c r="AB198" s="8"/>
      <c r="AE198" s="12">
        <f t="shared" si="26"/>
        <v>0</v>
      </c>
      <c r="AS198" s="8"/>
    </row>
    <row r="199" spans="1:45">
      <c r="A199" s="1"/>
      <c r="K199" s="8">
        <v>45546</v>
      </c>
      <c r="L199" s="4">
        <v>1392446.3530863801</v>
      </c>
      <c r="M199" s="9">
        <v>1239708.27952949</v>
      </c>
      <c r="N199" s="3">
        <f t="shared" si="24"/>
        <v>152738.07355689001</v>
      </c>
      <c r="O199" s="5">
        <f t="shared" si="25"/>
        <v>0.12320485075316197</v>
      </c>
      <c r="AB199" s="8"/>
      <c r="AE199" s="12">
        <f t="shared" si="26"/>
        <v>0</v>
      </c>
      <c r="AS199" s="8"/>
    </row>
    <row r="200" spans="1:45">
      <c r="A200" s="1"/>
      <c r="K200" s="8">
        <v>45547</v>
      </c>
      <c r="L200" s="4">
        <v>1396520.3071920599</v>
      </c>
      <c r="M200" s="9">
        <v>1250268.9247132801</v>
      </c>
      <c r="N200" s="3">
        <f t="shared" si="24"/>
        <v>146251.38247877988</v>
      </c>
      <c r="O200" s="5">
        <f t="shared" si="25"/>
        <v>0.11697593980616547</v>
      </c>
      <c r="AB200" s="8"/>
      <c r="AE200" s="12">
        <f t="shared" si="26"/>
        <v>0</v>
      </c>
      <c r="AS200" s="8"/>
    </row>
    <row r="201" spans="1:45">
      <c r="A201" s="1"/>
      <c r="K201" s="8">
        <v>45548</v>
      </c>
      <c r="L201" s="4">
        <v>1398431.78891569</v>
      </c>
      <c r="M201" s="9">
        <v>1254795.5787191601</v>
      </c>
      <c r="N201" s="3">
        <f t="shared" si="24"/>
        <v>143636.21019652998</v>
      </c>
      <c r="O201" s="5">
        <f t="shared" si="25"/>
        <v>0.11446980897330503</v>
      </c>
      <c r="AB201" s="8"/>
      <c r="AE201" s="12">
        <f t="shared" si="26"/>
        <v>0</v>
      </c>
      <c r="AS201" s="8"/>
    </row>
    <row r="202" spans="1:45">
      <c r="A202" s="1"/>
      <c r="K202" s="8">
        <v>45551</v>
      </c>
      <c r="L202" s="4">
        <v>1398170.8254043299</v>
      </c>
      <c r="M202" s="9">
        <v>1253956.0806878</v>
      </c>
      <c r="N202" s="3">
        <f t="shared" si="24"/>
        <v>144214.74471652997</v>
      </c>
      <c r="O202" s="5">
        <f t="shared" si="25"/>
        <v>0.11500781162720436</v>
      </c>
      <c r="AB202" s="8"/>
      <c r="AE202" s="12">
        <f t="shared" si="26"/>
        <v>0</v>
      </c>
      <c r="AS202" s="8"/>
    </row>
    <row r="203" spans="1:45">
      <c r="A203" s="1"/>
      <c r="K203" s="8">
        <v>45552</v>
      </c>
      <c r="L203" s="4">
        <v>1382085.16482349</v>
      </c>
      <c r="M203" s="9">
        <v>1254099.88463976</v>
      </c>
      <c r="N203" s="3">
        <f t="shared" si="24"/>
        <v>127985.28018372995</v>
      </c>
      <c r="O203" s="5">
        <f t="shared" si="25"/>
        <v>0.10205349809157642</v>
      </c>
      <c r="AB203" s="8"/>
      <c r="AE203" s="12">
        <f t="shared" si="26"/>
        <v>0</v>
      </c>
      <c r="AS203" s="8"/>
    </row>
    <row r="204" spans="1:45">
      <c r="A204" s="1"/>
      <c r="K204" s="8">
        <v>45553</v>
      </c>
      <c r="L204" s="4">
        <v>1376000.94088704</v>
      </c>
      <c r="M204" s="9">
        <v>1250528.67767847</v>
      </c>
      <c r="N204" s="3">
        <f t="shared" si="24"/>
        <v>125472.26320856996</v>
      </c>
      <c r="O204" s="5">
        <f t="shared" si="25"/>
        <v>0.10033537450856508</v>
      </c>
      <c r="AB204" s="8"/>
      <c r="AE204" s="12">
        <f t="shared" si="26"/>
        <v>0</v>
      </c>
      <c r="AS204" s="8"/>
    </row>
    <row r="205" spans="1:45">
      <c r="A205" s="1"/>
      <c r="K205" s="8">
        <v>45554</v>
      </c>
      <c r="L205" s="4">
        <v>1373311.7722122001</v>
      </c>
      <c r="M205" s="9">
        <v>1274024.5449566999</v>
      </c>
      <c r="N205" s="3">
        <f t="shared" si="24"/>
        <v>99287.227255500155</v>
      </c>
      <c r="O205" s="5">
        <f t="shared" si="25"/>
        <v>7.7931957942674185E-2</v>
      </c>
      <c r="AB205" s="8"/>
      <c r="AE205" s="12">
        <f t="shared" si="26"/>
        <v>0</v>
      </c>
      <c r="AS205" s="8"/>
    </row>
    <row r="206" spans="1:45">
      <c r="A206" s="1"/>
      <c r="K206" s="8">
        <v>45555</v>
      </c>
      <c r="L206" s="4">
        <v>1383353.0862101701</v>
      </c>
      <c r="M206" s="9">
        <v>1271775.2020388599</v>
      </c>
      <c r="N206" s="3">
        <f t="shared" si="24"/>
        <v>111577.88417131011</v>
      </c>
      <c r="O206" s="5">
        <f t="shared" si="25"/>
        <v>8.7733967443643215E-2</v>
      </c>
      <c r="AB206" s="8"/>
      <c r="AE206" s="12">
        <f t="shared" si="26"/>
        <v>0</v>
      </c>
      <c r="AS206" s="8"/>
    </row>
    <row r="207" spans="1:45">
      <c r="A207" s="1"/>
      <c r="K207" s="8">
        <v>45558</v>
      </c>
      <c r="L207" s="4">
        <v>1393181.6866343999</v>
      </c>
      <c r="M207" s="9">
        <v>1274520.83843815</v>
      </c>
      <c r="N207" s="3">
        <f t="shared" si="24"/>
        <v>118660.84819624992</v>
      </c>
      <c r="O207" s="5">
        <f t="shared" si="25"/>
        <v>9.3102320980221698E-2</v>
      </c>
      <c r="AB207" s="8"/>
      <c r="AE207" s="12">
        <f t="shared" si="26"/>
        <v>0</v>
      </c>
      <c r="AS207" s="8"/>
    </row>
    <row r="208" spans="1:45">
      <c r="A208" s="1"/>
      <c r="K208" s="8">
        <v>45559</v>
      </c>
      <c r="L208" s="4">
        <v>1387963.43198927</v>
      </c>
      <c r="M208" s="9">
        <v>1278899.04600228</v>
      </c>
      <c r="N208" s="3">
        <f t="shared" si="24"/>
        <v>109064.38598699006</v>
      </c>
      <c r="O208" s="5">
        <f t="shared" si="25"/>
        <v>8.5279902528596949E-2</v>
      </c>
      <c r="AB208" s="8"/>
      <c r="AE208" s="12">
        <f t="shared" si="26"/>
        <v>0</v>
      </c>
      <c r="AS208" s="8"/>
    </row>
    <row r="209" spans="1:45">
      <c r="A209" s="1"/>
      <c r="K209" s="8">
        <v>45560</v>
      </c>
      <c r="L209" s="4">
        <v>1388928.1684174601</v>
      </c>
      <c r="M209" s="9">
        <v>1278393.58077272</v>
      </c>
      <c r="N209" s="3">
        <f t="shared" si="24"/>
        <v>110534.58764474001</v>
      </c>
      <c r="O209" s="5">
        <f t="shared" si="25"/>
        <v>8.6463659789286343E-2</v>
      </c>
      <c r="AB209" s="8"/>
      <c r="AE209" s="12">
        <f t="shared" si="26"/>
        <v>0</v>
      </c>
      <c r="AS209" s="8"/>
    </row>
    <row r="210" spans="1:45">
      <c r="A210" s="1"/>
      <c r="K210" s="8">
        <v>45561</v>
      </c>
      <c r="L210" s="4">
        <v>1380592.1502871399</v>
      </c>
      <c r="M210" s="9">
        <v>1281909.07785656</v>
      </c>
      <c r="N210" s="3">
        <f t="shared" si="24"/>
        <v>98683.072430579923</v>
      </c>
      <c r="O210" s="5">
        <f t="shared" si="25"/>
        <v>7.6981335209502372E-2</v>
      </c>
      <c r="AB210" s="8"/>
      <c r="AE210" s="12">
        <f t="shared" si="26"/>
        <v>0</v>
      </c>
      <c r="AS210" s="8"/>
    </row>
    <row r="211" spans="1:45">
      <c r="A211" s="1"/>
      <c r="K211" s="8">
        <v>45562</v>
      </c>
      <c r="L211" s="4">
        <v>1376932.92563302</v>
      </c>
      <c r="M211" s="9">
        <v>1278801.6669482</v>
      </c>
      <c r="N211" s="3">
        <f t="shared" si="24"/>
        <v>98131.25868482003</v>
      </c>
      <c r="O211" s="5">
        <f t="shared" si="25"/>
        <v>7.673688674413888E-2</v>
      </c>
      <c r="AB211" s="8"/>
      <c r="AE211" s="12">
        <f t="shared" si="26"/>
        <v>0</v>
      </c>
      <c r="AS211" s="8"/>
    </row>
    <row r="212" spans="1:45">
      <c r="A212" s="1"/>
      <c r="K212" s="8">
        <v>45565</v>
      </c>
      <c r="L212" s="4">
        <v>1378291.9624214801</v>
      </c>
      <c r="M212" s="9">
        <v>1285642.65872896</v>
      </c>
      <c r="N212" s="3">
        <f t="shared" si="24"/>
        <v>92649.30369252013</v>
      </c>
      <c r="O212" s="5">
        <f t="shared" si="25"/>
        <v>7.2064584247785543E-2</v>
      </c>
      <c r="AB212" s="8"/>
      <c r="AE212" s="12">
        <f t="shared" si="26"/>
        <v>0</v>
      </c>
      <c r="AS212" s="8"/>
    </row>
    <row r="213" spans="1:45">
      <c r="A213" s="1"/>
      <c r="K213" s="8">
        <v>45566</v>
      </c>
      <c r="L213" s="4">
        <v>1378291.9624214801</v>
      </c>
      <c r="M213" s="9">
        <v>1285642.65872896</v>
      </c>
      <c r="N213" s="3">
        <f t="shared" si="24"/>
        <v>92649.30369252013</v>
      </c>
      <c r="O213" s="5">
        <f t="shared" si="25"/>
        <v>7.2064584247785543E-2</v>
      </c>
      <c r="AB213" s="8"/>
      <c r="AE213" s="12">
        <f t="shared" si="26"/>
        <v>0</v>
      </c>
      <c r="AS213" s="8"/>
    </row>
    <row r="214" spans="1:45">
      <c r="A214" s="1"/>
      <c r="K214" s="8">
        <v>45567</v>
      </c>
      <c r="L214" s="4">
        <v>1378424.3079710701</v>
      </c>
      <c r="M214" s="9">
        <v>1285825.4784831</v>
      </c>
      <c r="N214" s="3">
        <f t="shared" si="24"/>
        <v>92598.829487970099</v>
      </c>
      <c r="O214" s="5">
        <f t="shared" si="25"/>
        <v>7.201508372443341E-2</v>
      </c>
      <c r="AB214" s="8"/>
      <c r="AE214" s="12">
        <f t="shared" si="26"/>
        <v>0</v>
      </c>
      <c r="AS214" s="8"/>
    </row>
    <row r="215" spans="1:45">
      <c r="A215" s="1"/>
      <c r="K215" s="8">
        <v>45568</v>
      </c>
      <c r="L215" s="4">
        <v>1365326.8271411899</v>
      </c>
      <c r="M215" s="9">
        <v>1284803.3134331801</v>
      </c>
      <c r="N215" s="3">
        <f t="shared" si="24"/>
        <v>80523.51370800985</v>
      </c>
      <c r="O215" s="5">
        <f t="shared" si="25"/>
        <v>6.2673806072961774E-2</v>
      </c>
      <c r="AB215" s="8"/>
      <c r="AE215" s="12">
        <f t="shared" si="26"/>
        <v>0</v>
      </c>
      <c r="AS215" s="8"/>
    </row>
    <row r="216" spans="1:45">
      <c r="A216" s="1"/>
      <c r="K216" s="8">
        <v>45569</v>
      </c>
      <c r="L216" s="4">
        <v>1358866.5296813999</v>
      </c>
      <c r="M216" s="9">
        <v>1297960.6118817199</v>
      </c>
      <c r="N216" s="3">
        <f t="shared" si="24"/>
        <v>60905.917799680028</v>
      </c>
      <c r="O216" s="5">
        <f t="shared" si="25"/>
        <v>4.6924318998695654E-2</v>
      </c>
      <c r="AB216" s="8"/>
      <c r="AE216" s="12">
        <f t="shared" si="26"/>
        <v>0</v>
      </c>
      <c r="AS216" s="8"/>
    </row>
    <row r="217" spans="1:45">
      <c r="A217" s="1"/>
      <c r="K217" s="8">
        <v>45572</v>
      </c>
      <c r="L217" s="4">
        <v>1340255.09821997</v>
      </c>
      <c r="M217" s="9">
        <v>1285023.6816402699</v>
      </c>
      <c r="N217" s="3">
        <f t="shared" si="24"/>
        <v>55231.416579700075</v>
      </c>
      <c r="O217" s="5">
        <f t="shared" si="25"/>
        <v>4.2980855037005911E-2</v>
      </c>
      <c r="AB217" s="8"/>
      <c r="AE217" s="12">
        <f t="shared" si="26"/>
        <v>0</v>
      </c>
      <c r="AS217" s="8"/>
    </row>
    <row r="218" spans="1:45">
      <c r="A218" s="1"/>
      <c r="K218" s="8">
        <v>45573</v>
      </c>
      <c r="L218" s="4">
        <v>1354078.10694472</v>
      </c>
      <c r="M218" s="9">
        <v>1299915.87888279</v>
      </c>
      <c r="N218" s="3">
        <f t="shared" si="24"/>
        <v>54162.228061930044</v>
      </c>
      <c r="O218" s="5">
        <f t="shared" si="25"/>
        <v>4.166594849851335E-2</v>
      </c>
      <c r="AB218" s="8"/>
      <c r="AE218" s="12">
        <f t="shared" si="26"/>
        <v>0</v>
      </c>
      <c r="AS218" s="8"/>
    </row>
    <row r="219" spans="1:45">
      <c r="A219" s="1"/>
      <c r="K219" s="8">
        <v>45574</v>
      </c>
      <c r="L219" s="4">
        <v>1362929.88143075</v>
      </c>
      <c r="M219" s="9">
        <v>1308707.7117681699</v>
      </c>
      <c r="N219" s="3">
        <f t="shared" si="24"/>
        <v>54222.169662580127</v>
      </c>
      <c r="O219" s="5">
        <f t="shared" si="25"/>
        <v>4.1431840872490612E-2</v>
      </c>
      <c r="AB219" s="8"/>
      <c r="AE219" s="12">
        <f t="shared" si="26"/>
        <v>0</v>
      </c>
      <c r="AS219" s="8"/>
    </row>
    <row r="220" spans="1:45">
      <c r="A220" s="1"/>
      <c r="K220" s="8">
        <v>45575</v>
      </c>
      <c r="L220" s="4">
        <v>1354542.4535688499</v>
      </c>
      <c r="M220" s="9">
        <v>1306588.28476245</v>
      </c>
      <c r="N220" s="3">
        <f t="shared" si="24"/>
        <v>47954.168806399917</v>
      </c>
      <c r="O220" s="5">
        <f t="shared" si="25"/>
        <v>3.6701820585448179E-2</v>
      </c>
      <c r="AB220" s="8"/>
      <c r="AE220" s="12">
        <f t="shared" si="26"/>
        <v>0</v>
      </c>
      <c r="AS220" s="8"/>
    </row>
    <row r="221" spans="1:45">
      <c r="A221" s="1"/>
      <c r="K221" s="8">
        <v>45576</v>
      </c>
      <c r="L221" s="4">
        <v>1364112.7788783</v>
      </c>
      <c r="M221" s="9">
        <v>1311488.24339517</v>
      </c>
      <c r="N221" s="3">
        <f t="shared" si="24"/>
        <v>52624.535483130021</v>
      </c>
      <c r="O221" s="5">
        <f t="shared" si="25"/>
        <v>4.012581565115373E-2</v>
      </c>
      <c r="AB221" s="8"/>
      <c r="AE221" s="12">
        <f t="shared" si="26"/>
        <v>0</v>
      </c>
      <c r="AS221" s="8"/>
    </row>
    <row r="222" spans="1:45">
      <c r="A222" s="1"/>
      <c r="K222" s="8">
        <v>45579</v>
      </c>
      <c r="L222" s="4">
        <v>1373051.8440602501</v>
      </c>
      <c r="M222" s="9">
        <v>1321588.3193302101</v>
      </c>
      <c r="N222" s="3">
        <f t="shared" si="24"/>
        <v>51463.524730039993</v>
      </c>
      <c r="O222" s="5">
        <f t="shared" si="25"/>
        <v>3.8940662517448744E-2</v>
      </c>
      <c r="AB222" s="8"/>
      <c r="AE222" s="12">
        <f t="shared" si="26"/>
        <v>0</v>
      </c>
      <c r="AS222" s="8"/>
    </row>
    <row r="223" spans="1:45">
      <c r="A223" s="1"/>
      <c r="K223" s="8">
        <v>45580</v>
      </c>
      <c r="L223" s="4">
        <v>1381421.4327432299</v>
      </c>
      <c r="M223" s="9">
        <v>1312036.8171345801</v>
      </c>
      <c r="N223" s="3">
        <f t="shared" si="24"/>
        <v>69384.615608649794</v>
      </c>
      <c r="O223" s="5">
        <f t="shared" si="25"/>
        <v>5.28831315573767E-2</v>
      </c>
      <c r="AB223" s="8"/>
      <c r="AE223" s="12">
        <f t="shared" si="26"/>
        <v>0</v>
      </c>
      <c r="AS223" s="8"/>
    </row>
    <row r="224" spans="1:45">
      <c r="A224" s="1"/>
      <c r="K224" s="8">
        <v>45581</v>
      </c>
      <c r="L224" s="4">
        <v>1388467.7039854</v>
      </c>
      <c r="M224" s="9">
        <v>1317551.05929937</v>
      </c>
      <c r="N224" s="3">
        <f t="shared" si="24"/>
        <v>70916.644686029991</v>
      </c>
      <c r="O224" s="5">
        <f t="shared" si="25"/>
        <v>5.3824589328432641E-2</v>
      </c>
      <c r="AB224" s="8"/>
      <c r="AE224" s="12">
        <f t="shared" si="26"/>
        <v>0</v>
      </c>
      <c r="AS224" s="8"/>
    </row>
    <row r="225" spans="1:45">
      <c r="A225" s="1"/>
      <c r="K225" s="8">
        <v>45582</v>
      </c>
      <c r="L225" s="4">
        <v>1386909.22024663</v>
      </c>
      <c r="M225" s="9">
        <v>1318502.935477</v>
      </c>
      <c r="N225" s="3">
        <f t="shared" si="24"/>
        <v>68406.28476963006</v>
      </c>
      <c r="O225" s="5">
        <f t="shared" si="25"/>
        <v>5.1881784203144342E-2</v>
      </c>
      <c r="AB225" s="8"/>
      <c r="AE225" s="12">
        <f t="shared" si="26"/>
        <v>0</v>
      </c>
      <c r="AS225" s="8"/>
    </row>
    <row r="226" spans="1:45">
      <c r="A226" s="1"/>
      <c r="K226" s="8">
        <v>45583</v>
      </c>
      <c r="L226" s="4">
        <v>1392618.9374577601</v>
      </c>
      <c r="M226" s="9">
        <v>1323932.8080996401</v>
      </c>
      <c r="N226" s="3">
        <f t="shared" si="24"/>
        <v>68686.12935812003</v>
      </c>
      <c r="O226" s="5">
        <f t="shared" si="25"/>
        <v>5.188037409293559E-2</v>
      </c>
      <c r="AB226" s="8"/>
      <c r="AE226" s="12">
        <f t="shared" si="26"/>
        <v>0</v>
      </c>
      <c r="AS226" s="8"/>
    </row>
    <row r="227" spans="1:45">
      <c r="A227" s="1"/>
      <c r="K227" s="8">
        <v>45586</v>
      </c>
      <c r="L227" s="4">
        <v>1380569.03217933</v>
      </c>
      <c r="M227" s="9">
        <v>1325030.0700554501</v>
      </c>
      <c r="N227" s="3">
        <f t="shared" si="24"/>
        <v>55538.96212387993</v>
      </c>
      <c r="O227" s="5">
        <f t="shared" si="25"/>
        <v>4.1915246588747776E-2</v>
      </c>
      <c r="AB227" s="8"/>
      <c r="AE227" s="12">
        <f t="shared" si="26"/>
        <v>0</v>
      </c>
      <c r="AS227" s="8"/>
    </row>
    <row r="228" spans="1:45">
      <c r="A228" s="1"/>
      <c r="K228" s="8">
        <v>45587</v>
      </c>
      <c r="L228" s="4">
        <v>1384342.3402023499</v>
      </c>
      <c r="M228" s="9">
        <v>1327421.37991408</v>
      </c>
      <c r="N228" s="3">
        <f t="shared" si="24"/>
        <v>56920.960288269911</v>
      </c>
      <c r="O228" s="5">
        <f t="shared" si="25"/>
        <v>4.2880852417756174E-2</v>
      </c>
      <c r="AB228" s="8"/>
      <c r="AE228" s="12">
        <f t="shared" si="26"/>
        <v>0</v>
      </c>
      <c r="AS228" s="8"/>
    </row>
    <row r="229" spans="1:45">
      <c r="A229" s="1"/>
      <c r="K229" s="8">
        <v>45588</v>
      </c>
      <c r="L229" s="4">
        <v>1382924.7731001701</v>
      </c>
      <c r="M229" s="9">
        <v>1311839.91671058</v>
      </c>
      <c r="N229" s="3">
        <f t="shared" si="24"/>
        <v>71084.856389590073</v>
      </c>
      <c r="O229" s="5">
        <f t="shared" si="25"/>
        <v>5.4187142412798615E-2</v>
      </c>
      <c r="AB229" s="8"/>
      <c r="AE229" s="12">
        <f t="shared" si="26"/>
        <v>0</v>
      </c>
      <c r="AS229" s="8"/>
    </row>
    <row r="230" spans="1:45">
      <c r="A230" s="1"/>
      <c r="K230" s="8">
        <v>45589</v>
      </c>
      <c r="L230" s="4">
        <v>1375050.13931632</v>
      </c>
      <c r="M230" s="9">
        <v>1315909.9171607599</v>
      </c>
      <c r="N230" s="3">
        <f t="shared" si="24"/>
        <v>59140.222155560041</v>
      </c>
      <c r="O230" s="5">
        <f t="shared" si="25"/>
        <v>4.4942454938832331E-2</v>
      </c>
      <c r="AB230" s="8"/>
      <c r="AE230" s="12">
        <f t="shared" si="26"/>
        <v>0</v>
      </c>
      <c r="AS230" s="8"/>
    </row>
    <row r="231" spans="1:45">
      <c r="A231" s="1"/>
      <c r="K231" s="8">
        <v>45590</v>
      </c>
      <c r="L231" s="4">
        <v>1354836.50588112</v>
      </c>
      <c r="M231" s="9">
        <v>1317532.3995498801</v>
      </c>
      <c r="N231" s="3">
        <f t="shared" si="24"/>
        <v>37304.10633123992</v>
      </c>
      <c r="O231" s="5">
        <f t="shared" si="25"/>
        <v>2.831361592624549E-2</v>
      </c>
      <c r="AB231" s="8"/>
      <c r="AE231" s="12">
        <f t="shared" si="26"/>
        <v>0</v>
      </c>
      <c r="AS231" s="8"/>
    </row>
    <row r="232" spans="1:45">
      <c r="A232" s="1"/>
      <c r="K232" s="8">
        <v>45593</v>
      </c>
      <c r="L232" s="4">
        <v>1354768.8479202499</v>
      </c>
      <c r="M232" s="9">
        <v>1320805.29671385</v>
      </c>
      <c r="N232" s="3">
        <f t="shared" si="24"/>
        <v>33963.551206399919</v>
      </c>
      <c r="O232" s="5">
        <f t="shared" si="25"/>
        <v>2.5714275443095878E-2</v>
      </c>
      <c r="AB232" s="8"/>
      <c r="AE232" s="12">
        <f t="shared" si="26"/>
        <v>0</v>
      </c>
      <c r="AS232" s="8"/>
    </row>
    <row r="233" spans="1:45">
      <c r="A233" s="1"/>
      <c r="K233" s="8">
        <v>45594</v>
      </c>
      <c r="L233" s="4">
        <v>1336802.4102657801</v>
      </c>
      <c r="M233" s="9">
        <v>1324514.23673538</v>
      </c>
      <c r="N233" s="3">
        <f t="shared" si="24"/>
        <v>12288.173530400032</v>
      </c>
      <c r="O233" s="5">
        <f t="shared" si="25"/>
        <v>9.2774944878565632E-3</v>
      </c>
      <c r="AB233" s="8"/>
      <c r="AE233" s="12">
        <f t="shared" si="26"/>
        <v>0</v>
      </c>
      <c r="AS233" s="8"/>
    </row>
    <row r="234" spans="1:45">
      <c r="A234" s="1"/>
      <c r="K234" s="8">
        <v>45595</v>
      </c>
      <c r="L234" s="4">
        <v>1326778.8941718901</v>
      </c>
      <c r="M234" s="9">
        <v>1319445.42454139</v>
      </c>
      <c r="N234" s="3">
        <f t="shared" si="24"/>
        <v>7333.4696305000689</v>
      </c>
      <c r="O234" s="5">
        <f t="shared" si="25"/>
        <v>5.5579939072122062E-3</v>
      </c>
      <c r="AB234" s="8"/>
      <c r="AE234" s="12">
        <f t="shared" si="26"/>
        <v>0</v>
      </c>
      <c r="AS234" s="8"/>
    </row>
    <row r="235" spans="1:45">
      <c r="A235" s="1"/>
      <c r="K235" s="8">
        <v>45596</v>
      </c>
      <c r="L235" s="4">
        <v>1325631.5615620001</v>
      </c>
      <c r="M235" s="9">
        <v>1292277.5161556599</v>
      </c>
      <c r="N235" s="3">
        <f t="shared" si="24"/>
        <v>33354.045406340156</v>
      </c>
      <c r="O235" s="5">
        <f t="shared" si="25"/>
        <v>2.5810280678382189E-2</v>
      </c>
      <c r="AB235" s="8"/>
      <c r="AE235" s="12">
        <f t="shared" si="26"/>
        <v>0</v>
      </c>
      <c r="AS235" s="8"/>
    </row>
    <row r="236" spans="1:45">
      <c r="A236" s="1"/>
      <c r="K236" s="8">
        <v>45597</v>
      </c>
      <c r="L236" s="4">
        <v>1311983.3787539599</v>
      </c>
      <c r="M236" s="9">
        <v>1299306.28890734</v>
      </c>
      <c r="N236" s="3">
        <f t="shared" si="24"/>
        <v>12677.089846619871</v>
      </c>
      <c r="O236" s="5">
        <f t="shared" si="25"/>
        <v>9.7568140436545964E-3</v>
      </c>
      <c r="AB236" s="8"/>
      <c r="AE236" s="12">
        <f t="shared" si="26"/>
        <v>0</v>
      </c>
      <c r="AS236" s="8"/>
    </row>
    <row r="237" spans="1:45">
      <c r="A237" s="1"/>
      <c r="K237" s="8"/>
      <c r="L237" s="4"/>
      <c r="N237" s="3">
        <f t="shared" si="24"/>
        <v>0</v>
      </c>
      <c r="O237" s="5" t="e">
        <f t="shared" si="25"/>
        <v>#DIV/0!</v>
      </c>
      <c r="AB237" s="8"/>
      <c r="AE237" s="12">
        <f t="shared" si="26"/>
        <v>0</v>
      </c>
      <c r="AS237" s="8"/>
    </row>
    <row r="238" spans="1:45">
      <c r="A238" s="1"/>
      <c r="K238" s="8"/>
      <c r="L238" s="4"/>
      <c r="N238" s="3">
        <f t="shared" si="24"/>
        <v>0</v>
      </c>
      <c r="O238" s="5" t="e">
        <f t="shared" si="25"/>
        <v>#DIV/0!</v>
      </c>
      <c r="AB238" s="8"/>
      <c r="AE238" s="12">
        <f t="shared" si="26"/>
        <v>0</v>
      </c>
      <c r="AS238" s="8"/>
    </row>
    <row r="239" spans="1:45">
      <c r="A239" s="1"/>
      <c r="K239" s="8"/>
      <c r="L239" s="4"/>
      <c r="N239" s="3">
        <f t="shared" si="24"/>
        <v>0</v>
      </c>
      <c r="O239" s="5" t="e">
        <f t="shared" si="25"/>
        <v>#DIV/0!</v>
      </c>
      <c r="AB239" s="8"/>
      <c r="AE239" s="12">
        <f t="shared" si="26"/>
        <v>0</v>
      </c>
      <c r="AS239" s="8"/>
    </row>
    <row r="240" spans="1:45">
      <c r="A240" s="1"/>
      <c r="K240" s="8"/>
      <c r="L240" s="4"/>
      <c r="N240" s="3">
        <f t="shared" si="24"/>
        <v>0</v>
      </c>
      <c r="O240" s="5" t="e">
        <f t="shared" si="25"/>
        <v>#DIV/0!</v>
      </c>
      <c r="AB240" s="8"/>
      <c r="AE240" s="12">
        <f t="shared" si="26"/>
        <v>0</v>
      </c>
      <c r="AS240" s="8"/>
    </row>
    <row r="241" spans="1:45">
      <c r="A241" s="1"/>
      <c r="K241" s="8"/>
      <c r="L241" s="4"/>
      <c r="N241" s="3">
        <f t="shared" si="24"/>
        <v>0</v>
      </c>
      <c r="O241" s="5" t="e">
        <f t="shared" si="25"/>
        <v>#DIV/0!</v>
      </c>
      <c r="AB241" s="8"/>
      <c r="AE241" s="12">
        <f t="shared" si="26"/>
        <v>0</v>
      </c>
      <c r="AS241" s="8"/>
    </row>
    <row r="242" spans="1:45">
      <c r="A242" s="1"/>
      <c r="K242" s="8"/>
      <c r="L242" s="4"/>
      <c r="N242" s="3">
        <f t="shared" si="24"/>
        <v>0</v>
      </c>
      <c r="O242" s="5" t="e">
        <f t="shared" si="25"/>
        <v>#DIV/0!</v>
      </c>
      <c r="AB242" s="8"/>
      <c r="AE242" s="12">
        <f t="shared" si="26"/>
        <v>0</v>
      </c>
      <c r="AS242" s="8"/>
    </row>
    <row r="243" spans="1:45">
      <c r="A243" s="1"/>
      <c r="K243" s="8"/>
      <c r="L243" s="4"/>
      <c r="N243" s="3">
        <f t="shared" si="24"/>
        <v>0</v>
      </c>
      <c r="O243" s="5" t="e">
        <f t="shared" si="25"/>
        <v>#DIV/0!</v>
      </c>
      <c r="AB243" s="8"/>
      <c r="AE243" s="12">
        <f t="shared" si="26"/>
        <v>0</v>
      </c>
      <c r="AS243" s="8"/>
    </row>
    <row r="244" spans="1:45">
      <c r="A244" s="1"/>
      <c r="K244" s="8"/>
      <c r="L244" s="4"/>
      <c r="N244" s="3">
        <f t="shared" si="24"/>
        <v>0</v>
      </c>
      <c r="O244" s="5" t="e">
        <f t="shared" si="25"/>
        <v>#DIV/0!</v>
      </c>
      <c r="AB244" s="8"/>
      <c r="AE244" s="12">
        <f t="shared" si="26"/>
        <v>0</v>
      </c>
      <c r="AS244" s="8"/>
    </row>
    <row r="245" spans="1:45">
      <c r="A245" s="1"/>
      <c r="K245" s="8"/>
      <c r="L245" s="4"/>
      <c r="N245" s="3">
        <f t="shared" si="24"/>
        <v>0</v>
      </c>
      <c r="O245" s="5" t="e">
        <f t="shared" si="25"/>
        <v>#DIV/0!</v>
      </c>
      <c r="AB245" s="8"/>
      <c r="AE245" s="12">
        <f t="shared" si="26"/>
        <v>0</v>
      </c>
      <c r="AS245" s="8"/>
    </row>
    <row r="246" spans="1:45">
      <c r="A246" s="1"/>
      <c r="K246" s="8"/>
      <c r="L246" s="4"/>
      <c r="N246" s="3">
        <f t="shared" si="24"/>
        <v>0</v>
      </c>
      <c r="O246" s="5" t="e">
        <f t="shared" si="25"/>
        <v>#DIV/0!</v>
      </c>
      <c r="AB246" s="8"/>
      <c r="AE246" s="12">
        <f t="shared" si="26"/>
        <v>0</v>
      </c>
      <c r="AS246" s="8"/>
    </row>
    <row r="247" spans="1:45">
      <c r="A247" s="1"/>
      <c r="K247" s="8"/>
      <c r="L247" s="4"/>
      <c r="N247" s="3">
        <f t="shared" si="24"/>
        <v>0</v>
      </c>
      <c r="O247" s="5" t="e">
        <f t="shared" si="25"/>
        <v>#DIV/0!</v>
      </c>
      <c r="AB247" s="8"/>
      <c r="AE247" s="12">
        <f t="shared" si="26"/>
        <v>0</v>
      </c>
      <c r="AS247" s="8"/>
    </row>
    <row r="248" spans="1:45">
      <c r="A248" s="1"/>
      <c r="K248" s="8"/>
      <c r="L248" s="4"/>
      <c r="N248" s="3">
        <f t="shared" si="24"/>
        <v>0</v>
      </c>
      <c r="O248" s="5" t="e">
        <f t="shared" si="25"/>
        <v>#DIV/0!</v>
      </c>
      <c r="AB248" s="8"/>
      <c r="AE248" s="12">
        <f t="shared" si="26"/>
        <v>0</v>
      </c>
      <c r="AS248" s="8"/>
    </row>
    <row r="249" spans="1:45">
      <c r="A249" s="1"/>
      <c r="K249" s="8"/>
      <c r="L249" s="4"/>
      <c r="N249" s="3">
        <f t="shared" si="24"/>
        <v>0</v>
      </c>
      <c r="O249" s="5" t="e">
        <f t="shared" si="25"/>
        <v>#DIV/0!</v>
      </c>
      <c r="AB249" s="8"/>
      <c r="AE249" s="12">
        <f t="shared" si="26"/>
        <v>0</v>
      </c>
      <c r="AS249" s="8"/>
    </row>
    <row r="250" spans="1:45">
      <c r="A250" s="1"/>
      <c r="K250" s="8"/>
      <c r="L250" s="4"/>
      <c r="N250" s="3">
        <f t="shared" si="24"/>
        <v>0</v>
      </c>
      <c r="O250" s="5" t="e">
        <f t="shared" si="25"/>
        <v>#DIV/0!</v>
      </c>
      <c r="AB250" s="8"/>
      <c r="AE250" s="12">
        <f t="shared" si="26"/>
        <v>0</v>
      </c>
      <c r="AS250" s="8"/>
    </row>
    <row r="251" spans="1:45">
      <c r="A251" s="1"/>
      <c r="K251" s="8"/>
      <c r="L251" s="4"/>
      <c r="N251" s="3">
        <f t="shared" si="24"/>
        <v>0</v>
      </c>
      <c r="O251" s="5" t="e">
        <f t="shared" si="25"/>
        <v>#DIV/0!</v>
      </c>
      <c r="AB251" s="8"/>
      <c r="AE251" s="12">
        <f t="shared" si="26"/>
        <v>0</v>
      </c>
      <c r="AS251" s="8"/>
    </row>
    <row r="252" spans="1:45">
      <c r="A252" s="1"/>
      <c r="K252" s="8"/>
      <c r="L252" s="4"/>
      <c r="N252" s="3">
        <f t="shared" si="24"/>
        <v>0</v>
      </c>
      <c r="O252" s="5" t="e">
        <f t="shared" si="25"/>
        <v>#DIV/0!</v>
      </c>
      <c r="AB252" s="8"/>
      <c r="AE252" s="12">
        <f t="shared" si="26"/>
        <v>0</v>
      </c>
      <c r="AS252" s="8"/>
    </row>
    <row r="253" spans="1:45">
      <c r="A253" s="1"/>
      <c r="L253" s="4"/>
      <c r="N253" s="3">
        <f t="shared" si="24"/>
        <v>0</v>
      </c>
      <c r="O253" s="5" t="e">
        <f t="shared" si="25"/>
        <v>#DIV/0!</v>
      </c>
      <c r="AE253" s="12">
        <f t="shared" si="26"/>
        <v>0</v>
      </c>
    </row>
    <row r="254" spans="1:45">
      <c r="A254" s="1"/>
      <c r="L254" s="4"/>
      <c r="N254" s="3">
        <f t="shared" si="24"/>
        <v>0</v>
      </c>
      <c r="O254" s="5" t="e">
        <f t="shared" si="25"/>
        <v>#DIV/0!</v>
      </c>
      <c r="AE254" s="12">
        <f t="shared" si="26"/>
        <v>0</v>
      </c>
    </row>
    <row r="255" spans="1:45">
      <c r="A255" s="1"/>
      <c r="L255" s="4"/>
      <c r="N255" s="3">
        <f t="shared" si="24"/>
        <v>0</v>
      </c>
      <c r="O255" s="5" t="e">
        <f t="shared" si="25"/>
        <v>#DIV/0!</v>
      </c>
      <c r="AE255" s="12">
        <f t="shared" si="26"/>
        <v>0</v>
      </c>
    </row>
    <row r="256" spans="1:45">
      <c r="A256" s="1"/>
      <c r="L256" s="4"/>
      <c r="N256" s="3">
        <f t="shared" si="24"/>
        <v>0</v>
      </c>
      <c r="O256" s="5" t="e">
        <f t="shared" si="25"/>
        <v>#DIV/0!</v>
      </c>
      <c r="AE256" s="12">
        <f t="shared" si="26"/>
        <v>0</v>
      </c>
    </row>
    <row r="257" spans="1:31">
      <c r="A257" s="1"/>
      <c r="L257" s="4"/>
      <c r="N257" s="3">
        <f t="shared" si="24"/>
        <v>0</v>
      </c>
      <c r="O257" s="5" t="e">
        <f t="shared" si="25"/>
        <v>#DIV/0!</v>
      </c>
      <c r="AE257" s="12">
        <f t="shared" si="26"/>
        <v>0</v>
      </c>
    </row>
    <row r="258" spans="1:31">
      <c r="A258" s="1"/>
      <c r="L258" s="4"/>
      <c r="N258" s="3">
        <f t="shared" ref="N258:N277" si="27">L258-M258</f>
        <v>0</v>
      </c>
      <c r="O258" s="5" t="e">
        <f t="shared" ref="O258:O277" si="28">N258/M258</f>
        <v>#DIV/0!</v>
      </c>
      <c r="AE258" s="12">
        <f t="shared" ref="AE258:AE277" si="29">AC258-AD258</f>
        <v>0</v>
      </c>
    </row>
    <row r="259" spans="1:31">
      <c r="A259" s="1"/>
      <c r="L259" s="4"/>
      <c r="N259" s="3">
        <f t="shared" si="27"/>
        <v>0</v>
      </c>
      <c r="O259" s="5" t="e">
        <f t="shared" si="28"/>
        <v>#DIV/0!</v>
      </c>
      <c r="AE259" s="12">
        <f t="shared" si="29"/>
        <v>0</v>
      </c>
    </row>
    <row r="260" spans="1:31">
      <c r="A260" s="1"/>
      <c r="L260" s="4"/>
      <c r="N260" s="3">
        <f t="shared" si="27"/>
        <v>0</v>
      </c>
      <c r="O260" s="5" t="e">
        <f t="shared" si="28"/>
        <v>#DIV/0!</v>
      </c>
      <c r="AE260" s="12">
        <f t="shared" si="29"/>
        <v>0</v>
      </c>
    </row>
    <row r="261" spans="1:31">
      <c r="A261" s="1"/>
      <c r="L261" s="4"/>
      <c r="N261" s="3">
        <f t="shared" si="27"/>
        <v>0</v>
      </c>
      <c r="O261" s="5" t="e">
        <f t="shared" si="28"/>
        <v>#DIV/0!</v>
      </c>
      <c r="AE261" s="12">
        <f t="shared" si="29"/>
        <v>0</v>
      </c>
    </row>
    <row r="262" spans="1:31">
      <c r="A262" s="1"/>
      <c r="L262" s="4"/>
      <c r="N262" s="3">
        <f t="shared" si="27"/>
        <v>0</v>
      </c>
      <c r="O262" s="5" t="e">
        <f t="shared" si="28"/>
        <v>#DIV/0!</v>
      </c>
      <c r="AE262" s="12">
        <f t="shared" si="29"/>
        <v>0</v>
      </c>
    </row>
    <row r="263" spans="1:31">
      <c r="A263" s="1"/>
      <c r="L263" s="4"/>
      <c r="N263" s="3">
        <f t="shared" si="27"/>
        <v>0</v>
      </c>
      <c r="O263" s="5" t="e">
        <f t="shared" si="28"/>
        <v>#DIV/0!</v>
      </c>
      <c r="AE263" s="12">
        <f t="shared" si="29"/>
        <v>0</v>
      </c>
    </row>
    <row r="264" spans="1:31">
      <c r="A264" s="1"/>
      <c r="L264" s="4"/>
      <c r="N264" s="3">
        <f t="shared" si="27"/>
        <v>0</v>
      </c>
      <c r="O264" s="5" t="e">
        <f t="shared" si="28"/>
        <v>#DIV/0!</v>
      </c>
      <c r="AE264" s="12">
        <f t="shared" si="29"/>
        <v>0</v>
      </c>
    </row>
    <row r="265" spans="1:31">
      <c r="A265" s="1"/>
      <c r="L265" s="4"/>
      <c r="N265" s="3">
        <f t="shared" si="27"/>
        <v>0</v>
      </c>
      <c r="O265" s="5" t="e">
        <f t="shared" si="28"/>
        <v>#DIV/0!</v>
      </c>
      <c r="AE265" s="12">
        <f t="shared" si="29"/>
        <v>0</v>
      </c>
    </row>
    <row r="266" spans="1:31">
      <c r="A266" s="1"/>
      <c r="L266" s="4"/>
      <c r="N266" s="3">
        <f t="shared" si="27"/>
        <v>0</v>
      </c>
      <c r="O266" s="5" t="e">
        <f t="shared" si="28"/>
        <v>#DIV/0!</v>
      </c>
      <c r="AE266" s="12">
        <f t="shared" si="29"/>
        <v>0</v>
      </c>
    </row>
    <row r="267" spans="1:31">
      <c r="A267" s="1"/>
      <c r="L267" s="4"/>
      <c r="N267" s="3">
        <f t="shared" si="27"/>
        <v>0</v>
      </c>
      <c r="O267" s="5" t="e">
        <f t="shared" si="28"/>
        <v>#DIV/0!</v>
      </c>
      <c r="AE267" s="12">
        <f t="shared" si="29"/>
        <v>0</v>
      </c>
    </row>
    <row r="268" spans="1:31">
      <c r="A268" s="1"/>
      <c r="L268" s="4"/>
      <c r="N268" s="3">
        <f t="shared" si="27"/>
        <v>0</v>
      </c>
      <c r="O268" s="5" t="e">
        <f t="shared" si="28"/>
        <v>#DIV/0!</v>
      </c>
      <c r="AE268" s="12">
        <f t="shared" si="29"/>
        <v>0</v>
      </c>
    </row>
    <row r="269" spans="1:31">
      <c r="A269" s="1"/>
      <c r="L269" s="4"/>
      <c r="N269" s="3">
        <f t="shared" si="27"/>
        <v>0</v>
      </c>
      <c r="O269" s="5" t="e">
        <f t="shared" si="28"/>
        <v>#DIV/0!</v>
      </c>
      <c r="AE269" s="12">
        <f t="shared" si="29"/>
        <v>0</v>
      </c>
    </row>
    <row r="270" spans="1:31">
      <c r="A270" s="1"/>
      <c r="L270" s="4"/>
      <c r="N270" s="3">
        <f t="shared" si="27"/>
        <v>0</v>
      </c>
      <c r="O270" s="5" t="e">
        <f t="shared" si="28"/>
        <v>#DIV/0!</v>
      </c>
      <c r="AE270" s="12">
        <f t="shared" si="29"/>
        <v>0</v>
      </c>
    </row>
    <row r="271" spans="1:31">
      <c r="A271" s="1"/>
      <c r="L271" s="4"/>
      <c r="N271" s="3">
        <f t="shared" si="27"/>
        <v>0</v>
      </c>
      <c r="O271" s="5" t="e">
        <f t="shared" si="28"/>
        <v>#DIV/0!</v>
      </c>
      <c r="AE271" s="12">
        <f t="shared" si="29"/>
        <v>0</v>
      </c>
    </row>
    <row r="272" spans="1:31">
      <c r="A272" s="1"/>
      <c r="L272" s="4"/>
      <c r="N272" s="3">
        <f t="shared" si="27"/>
        <v>0</v>
      </c>
      <c r="O272" s="5" t="e">
        <f t="shared" si="28"/>
        <v>#DIV/0!</v>
      </c>
      <c r="AE272" s="12">
        <f t="shared" si="29"/>
        <v>0</v>
      </c>
    </row>
    <row r="273" spans="1:31">
      <c r="A273" s="1"/>
      <c r="L273" s="4"/>
      <c r="N273" s="3">
        <f t="shared" si="27"/>
        <v>0</v>
      </c>
      <c r="O273" s="5" t="e">
        <f t="shared" si="28"/>
        <v>#DIV/0!</v>
      </c>
      <c r="AE273" s="12">
        <f t="shared" si="29"/>
        <v>0</v>
      </c>
    </row>
    <row r="274" spans="1:31">
      <c r="A274" s="1"/>
      <c r="L274" s="4"/>
      <c r="N274" s="3">
        <f t="shared" si="27"/>
        <v>0</v>
      </c>
      <c r="O274" s="5" t="e">
        <f t="shared" si="28"/>
        <v>#DIV/0!</v>
      </c>
      <c r="AE274" s="12">
        <f t="shared" si="29"/>
        <v>0</v>
      </c>
    </row>
    <row r="275" spans="1:31">
      <c r="A275" s="1"/>
      <c r="L275" s="4"/>
      <c r="N275" s="3">
        <f t="shared" si="27"/>
        <v>0</v>
      </c>
      <c r="O275" s="5" t="e">
        <f t="shared" si="28"/>
        <v>#DIV/0!</v>
      </c>
      <c r="AE275" s="12">
        <f t="shared" si="29"/>
        <v>0</v>
      </c>
    </row>
    <row r="276" spans="1:31">
      <c r="A276" s="1"/>
      <c r="L276" s="4"/>
      <c r="N276" s="3">
        <f t="shared" si="27"/>
        <v>0</v>
      </c>
      <c r="O276" s="5" t="e">
        <f t="shared" si="28"/>
        <v>#DIV/0!</v>
      </c>
      <c r="AE276" s="12">
        <f t="shared" si="29"/>
        <v>0</v>
      </c>
    </row>
    <row r="277" spans="1:31">
      <c r="A277" s="1"/>
      <c r="L277" s="4"/>
      <c r="N277" s="3">
        <f t="shared" si="27"/>
        <v>0</v>
      </c>
      <c r="O277" s="5" t="e">
        <f t="shared" si="28"/>
        <v>#DIV/0!</v>
      </c>
      <c r="AE277" s="12">
        <f t="shared" si="29"/>
        <v>0</v>
      </c>
    </row>
    <row r="278" spans="1:31">
      <c r="A278" s="1"/>
    </row>
    <row r="279" spans="1:31">
      <c r="A279" s="1"/>
    </row>
    <row r="280" spans="1:31">
      <c r="A280" s="1"/>
    </row>
    <row r="281" spans="1:31">
      <c r="A281" s="1"/>
    </row>
    <row r="282" spans="1:31">
      <c r="A282" s="1"/>
    </row>
    <row r="283" spans="1:31">
      <c r="A283" s="1"/>
    </row>
    <row r="284" spans="1:31">
      <c r="A284" s="1"/>
    </row>
    <row r="285" spans="1:31">
      <c r="A285" s="1"/>
    </row>
    <row r="286" spans="1:31">
      <c r="A286" s="1"/>
    </row>
    <row r="287" spans="1:31">
      <c r="A287" s="1"/>
    </row>
    <row r="288" spans="1:3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</sheetData>
  <autoFilter ref="K1:O277" xr:uid="{1CD6B42A-CA2D-43CF-A1CA-E8D3A058AE60}">
    <sortState xmlns:xlrd2="http://schemas.microsoft.com/office/spreadsheetml/2017/richdata2" ref="K2:O277">
      <sortCondition ref="K1:K277"/>
    </sortState>
  </autoFilter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Injected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Siegel</dc:creator>
  <cp:lastModifiedBy>Chenghong Hu</cp:lastModifiedBy>
  <cp:lastPrinted>2020-03-03T19:59:21Z</cp:lastPrinted>
  <dcterms:created xsi:type="dcterms:W3CDTF">2017-10-06T22:57:55Z</dcterms:created>
  <dcterms:modified xsi:type="dcterms:W3CDTF">2024-11-06T17:46:27Z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9632b07a-2bb5-4e40-bd58-0ecbd12336c0</vt:lpwstr>
  </property>
</Properties>
</file>