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xu/Desktop/mvo1/upload/"/>
    </mc:Choice>
  </mc:AlternateContent>
  <xr:revisionPtr revIDLastSave="0" documentId="8_{B26B1BD7-6DD1-8F45-8681-34933E554D22}" xr6:coauthVersionLast="47" xr6:coauthVersionMax="47" xr10:uidLastSave="{00000000-0000-0000-0000-000000000000}"/>
  <bookViews>
    <workbookView xWindow="3360" yWindow="1780" windowWidth="27640" windowHeight="16940"/>
  </bookViews>
  <sheets>
    <sheet name="optdata_SP100_20240401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2" i="1"/>
</calcChain>
</file>

<file path=xl/sharedStrings.xml><?xml version="1.0" encoding="utf-8"?>
<sst xmlns="http://schemas.openxmlformats.org/spreadsheetml/2006/main" count="112" uniqueCount="111">
  <si>
    <t>Beta</t>
  </si>
  <si>
    <t>AAPL</t>
  </si>
  <si>
    <t>ABBV</t>
  </si>
  <si>
    <t>ABT</t>
  </si>
  <si>
    <t>ACN</t>
  </si>
  <si>
    <t>ADBE</t>
  </si>
  <si>
    <t>AIG</t>
  </si>
  <si>
    <t>AMD</t>
  </si>
  <si>
    <t>AMGN</t>
  </si>
  <si>
    <t>AMT</t>
  </si>
  <si>
    <t>AMZN</t>
  </si>
  <si>
    <t>AVGO</t>
  </si>
  <si>
    <t>AXP</t>
  </si>
  <si>
    <t>BA</t>
  </si>
  <si>
    <t>BAC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</si>
  <si>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</si>
  <si>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</si>
  <si>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</si>
  <si>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</si>
  <si>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</si>
  <si>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</si>
  <si>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</si>
  <si>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</si>
  <si>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</si>
  <si>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</si>
  <si>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</si>
  <si>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</si>
  <si>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</si>
  <si>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CRM</t>
  </si>
  <si>
    <t>CSCO</t>
  </si>
  <si>
    <t>CVS</t>
  </si>
  <si>
    <t>CVX</t>
  </si>
  <si>
    <t>DHR</t>
  </si>
  <si>
    <t>DIS</t>
  </si>
  <si>
    <t>DOW</t>
  </si>
  <si>
    <t>DUK</t>
  </si>
  <si>
    <t>EMR</t>
  </si>
  <si>
    <t>EXC</t>
  </si>
  <si>
    <t>F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</si>
  <si>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</si>
  <si>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</si>
  <si>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</si>
  <si>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</si>
  <si>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</si>
  <si>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</si>
  <si>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</si>
  <si>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</si>
  <si>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</si>
  <si>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</si>
  <si>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</si>
  <si>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</si>
  <si>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</si>
  <si>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</si>
  <si>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</si>
  <si>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KO</t>
  </si>
  <si>
    <t>LIN</t>
  </si>
  <si>
    <t>LLY</t>
  </si>
  <si>
    <t>LMT</t>
  </si>
  <si>
    <t>LOW</t>
  </si>
  <si>
    <t>MA</t>
  </si>
  <si>
    <t>MCD</t>
  </si>
  <si>
    <t>MDLZ</t>
  </si>
  <si>
    <t>MDT</t>
  </si>
  <si>
    <t>MET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</si>
  <si>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</si>
  <si>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</si>
  <si>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</si>
  <si>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</si>
  <si>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</si>
  <si>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</si>
  <si>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</si>
  <si>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</si>
  <si>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</si>
  <si>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</si>
  <si>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</si>
  <si>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</si>
  <si>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PFE</t>
  </si>
  <si>
    <t>PG</t>
  </si>
  <si>
    <t>PM</t>
  </si>
  <si>
    <t>PYPL</t>
  </si>
  <si>
    <t>QCOM</t>
  </si>
  <si>
    <t>RTX</t>
  </si>
  <si>
    <t>SBUX</t>
  </si>
  <si>
    <t>SCHW</t>
  </si>
  <si>
    <t>SO</t>
  </si>
  <si>
    <t>SPG</t>
  </si>
  <si>
    <t>T</t>
  </si>
  <si>
    <t>TGT</t>
  </si>
  <si>
    <t>TMO</t>
  </si>
  <si>
    <t>TMUS</t>
  </si>
  <si>
    <t>TSLA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</si>
  <si>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</si>
  <si>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</si>
  <si>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</si>
  <si>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</si>
  <si>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</si>
  <si>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</si>
  <si>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</si>
  <si>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</si>
  <si>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</si>
  <si>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</si>
  <si>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</si>
  <si>
    <t>NA</t>
  </si>
  <si>
    <t>N/A</t>
  </si>
  <si>
    <t>Symbol</t>
  </si>
  <si>
    <t>P_fwd</t>
  </si>
  <si>
    <t>EPS_ttm</t>
  </si>
  <si>
    <t>EPS_fwd</t>
  </si>
  <si>
    <t>close</t>
  </si>
  <si>
    <t>adjusted</t>
  </si>
  <si>
    <t>R_fwd(%)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</si>
</sst>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workbookViewId="0">
      <selection activeCell="H2" sqref="H2"/>
    </sheetView>
  </sheetViews>
  <sheetFormatPr baseColWidth="10" defaultRowHeight="16" x14ac:dyDescent="0.2"/>
  <sheetData>
    <row r="1" spans="1:8" x14ac:dyDescent="0.2">
      <c r="A1" t="s">
        <v>104</v>
      </c>
      <c r="B1" t="s">
        <v>105</v>
      </c>
      <c r="C1" t="s">
        <v>106</v>
      </c>
      <c r="D1" t="s">
        <v>107</v>
      </c>
      <c r="E1" t="s">
        <v>0</v>
      </c>
      <c r="F1" t="s">
        <v>108</v>
      </c>
      <c r="G1" t="s">
        <v>109</v>
      </c>
      <c r="H1" t="s">
        <v>110</v>
      </c>
    </row>
    <row r="2" spans="1:8" x14ac:dyDescent="0.2">
      <c r="A2" t="s">
        <v>1</v>
      </c>
      <c r="B2">
        <v>200.52</v>
      </c>
      <c r="C2">
        <v>6.56</v>
      </c>
      <c r="D2">
        <v>7.16</v>
      </c>
      <c r="E2">
        <v>1.29</v>
      </c>
      <c r="F2">
        <v>169.91000366210901</v>
      </c>
      <c r="G2">
        <v>169.91000366210901</v>
      </c>
      <c r="H2">
        <f>(B2/F2-1)*100</f>
        <v>18.015417384584055</v>
      </c>
    </row>
    <row r="3" spans="1:8" x14ac:dyDescent="0.2">
      <c r="A3" t="s">
        <v>2</v>
      </c>
      <c r="B3">
        <v>184.03</v>
      </c>
      <c r="C3">
        <v>11.19</v>
      </c>
      <c r="D3">
        <v>12.21</v>
      </c>
      <c r="E3">
        <v>0.56000000000000005</v>
      </c>
      <c r="F3">
        <v>180.36500549316401</v>
      </c>
      <c r="G3">
        <v>180.36500549316401</v>
      </c>
      <c r="H3">
        <f t="shared" ref="H3:H66" si="0">(B3/F3-1)*100</f>
        <v>2.0319875780864249</v>
      </c>
    </row>
    <row r="4" spans="1:8" x14ac:dyDescent="0.2">
      <c r="A4" t="s">
        <v>3</v>
      </c>
      <c r="B4">
        <v>125.74</v>
      </c>
      <c r="C4">
        <v>4.5999999999999996</v>
      </c>
      <c r="D4">
        <v>5.09</v>
      </c>
      <c r="E4">
        <v>0.74</v>
      </c>
      <c r="F4">
        <v>112.23999786377</v>
      </c>
      <c r="G4">
        <v>112.23999786377</v>
      </c>
      <c r="H4">
        <f t="shared" si="0"/>
        <v>12.027799708812781</v>
      </c>
    </row>
    <row r="5" spans="1:8" x14ac:dyDescent="0.2">
      <c r="A5" t="s">
        <v>4</v>
      </c>
      <c r="B5">
        <v>389.77</v>
      </c>
      <c r="C5">
        <v>12.1</v>
      </c>
      <c r="D5">
        <v>13.14</v>
      </c>
      <c r="E5">
        <v>1.2</v>
      </c>
      <c r="F5">
        <v>338.20498657226602</v>
      </c>
      <c r="G5">
        <v>338.20498657226602</v>
      </c>
      <c r="H5">
        <f t="shared" si="0"/>
        <v>15.246674494764068</v>
      </c>
    </row>
    <row r="6" spans="1:8" x14ac:dyDescent="0.2">
      <c r="A6" t="s">
        <v>5</v>
      </c>
      <c r="B6">
        <v>621.87</v>
      </c>
      <c r="C6">
        <v>18.03</v>
      </c>
      <c r="D6">
        <v>20.36</v>
      </c>
      <c r="E6">
        <v>1.29</v>
      </c>
      <c r="F6">
        <v>500.75</v>
      </c>
      <c r="G6">
        <v>500.75</v>
      </c>
      <c r="H6">
        <f t="shared" si="0"/>
        <v>24.187718422366444</v>
      </c>
    </row>
    <row r="7" spans="1:8" x14ac:dyDescent="0.2">
      <c r="A7" t="s">
        <v>6</v>
      </c>
      <c r="B7">
        <v>79.13</v>
      </c>
      <c r="C7">
        <v>7.12</v>
      </c>
      <c r="D7">
        <v>8.14</v>
      </c>
      <c r="E7">
        <v>1.03</v>
      </c>
      <c r="F7">
        <v>77.362899780273395</v>
      </c>
      <c r="G7">
        <v>77.362899780273395</v>
      </c>
      <c r="H7">
        <f t="shared" si="0"/>
        <v>2.2841700928294184</v>
      </c>
    </row>
    <row r="8" spans="1:8" x14ac:dyDescent="0.2">
      <c r="A8" t="s">
        <v>7</v>
      </c>
      <c r="B8">
        <v>190.75</v>
      </c>
      <c r="C8">
        <v>3.62</v>
      </c>
      <c r="D8">
        <v>5.47</v>
      </c>
      <c r="E8">
        <v>1.65</v>
      </c>
      <c r="F8">
        <v>183.49499511718801</v>
      </c>
      <c r="G8">
        <v>183.49499511718801</v>
      </c>
      <c r="H8">
        <f t="shared" si="0"/>
        <v>3.9537889729246434</v>
      </c>
    </row>
    <row r="9" spans="1:8" x14ac:dyDescent="0.2">
      <c r="A9" t="s">
        <v>8</v>
      </c>
      <c r="B9">
        <v>308.5</v>
      </c>
      <c r="C9">
        <v>19.57</v>
      </c>
      <c r="D9">
        <v>21.16</v>
      </c>
      <c r="E9">
        <v>0.57999999999999996</v>
      </c>
      <c r="F9">
        <v>282.29998779296898</v>
      </c>
      <c r="G9">
        <v>282.29998779296898</v>
      </c>
      <c r="H9">
        <f t="shared" si="0"/>
        <v>9.2809115621518945</v>
      </c>
    </row>
    <row r="10" spans="1:8" x14ac:dyDescent="0.2">
      <c r="A10" t="s">
        <v>9</v>
      </c>
      <c r="B10">
        <v>228.88</v>
      </c>
      <c r="C10">
        <v>7.06</v>
      </c>
      <c r="D10">
        <v>7.28</v>
      </c>
      <c r="E10">
        <v>0.68</v>
      </c>
      <c r="F10">
        <v>193.15499877929699</v>
      </c>
      <c r="G10">
        <v>193.15499877929699</v>
      </c>
      <c r="H10">
        <f t="shared" si="0"/>
        <v>18.495509537148024</v>
      </c>
    </row>
    <row r="11" spans="1:8" x14ac:dyDescent="0.2">
      <c r="A11" t="s">
        <v>10</v>
      </c>
      <c r="B11">
        <v>208.23</v>
      </c>
      <c r="C11">
        <v>4.13</v>
      </c>
      <c r="D11">
        <v>5.19</v>
      </c>
      <c r="E11">
        <v>1.17</v>
      </c>
      <c r="F11">
        <v>180.580001831055</v>
      </c>
      <c r="G11">
        <v>180.580001831055</v>
      </c>
      <c r="H11">
        <f t="shared" si="0"/>
        <v>15.311772006079316</v>
      </c>
    </row>
    <row r="12" spans="1:8" x14ac:dyDescent="0.2">
      <c r="A12" t="s">
        <v>11</v>
      </c>
      <c r="B12" s="1">
        <v>1504.34</v>
      </c>
      <c r="C12">
        <v>46.91</v>
      </c>
      <c r="D12">
        <v>56.95</v>
      </c>
      <c r="E12">
        <v>1.27</v>
      </c>
      <c r="F12">
        <v>1345</v>
      </c>
      <c r="G12">
        <v>1345</v>
      </c>
      <c r="H12">
        <f t="shared" si="0"/>
        <v>11.846840148698877</v>
      </c>
    </row>
    <row r="13" spans="1:8" x14ac:dyDescent="0.2">
      <c r="A13" t="s">
        <v>12</v>
      </c>
      <c r="B13">
        <v>208.81</v>
      </c>
      <c r="C13">
        <v>12.8</v>
      </c>
      <c r="D13">
        <v>14.74</v>
      </c>
      <c r="E13">
        <v>1.23</v>
      </c>
      <c r="F13">
        <v>226.94999694824199</v>
      </c>
      <c r="G13">
        <v>226.94999694824199</v>
      </c>
      <c r="H13">
        <f t="shared" si="0"/>
        <v>-7.9929487517812037</v>
      </c>
    </row>
    <row r="14" spans="1:8" x14ac:dyDescent="0.2">
      <c r="A14" t="s">
        <v>13</v>
      </c>
      <c r="B14">
        <v>246.08</v>
      </c>
      <c r="C14">
        <v>-0.8</v>
      </c>
      <c r="D14">
        <v>6.86</v>
      </c>
      <c r="E14">
        <v>1.52</v>
      </c>
      <c r="F14">
        <v>189.59500122070301</v>
      </c>
      <c r="G14">
        <v>189.59500122070301</v>
      </c>
      <c r="H14">
        <f t="shared" si="0"/>
        <v>29.792451496938032</v>
      </c>
    </row>
    <row r="15" spans="1:8" x14ac:dyDescent="0.2">
      <c r="A15" t="s">
        <v>14</v>
      </c>
      <c r="B15">
        <v>38.299999999999997</v>
      </c>
      <c r="C15">
        <v>3.13</v>
      </c>
      <c r="D15">
        <v>3.41</v>
      </c>
      <c r="E15">
        <v>1.39</v>
      </c>
      <c r="F15">
        <v>37.505001068115199</v>
      </c>
      <c r="G15">
        <v>37.505001068115199</v>
      </c>
      <c r="H15">
        <f t="shared" si="0"/>
        <v>2.119714462721789</v>
      </c>
    </row>
    <row r="16" spans="1:8" x14ac:dyDescent="0.2">
      <c r="A16" t="s">
        <v>15</v>
      </c>
      <c r="B16">
        <v>62.43</v>
      </c>
      <c r="C16">
        <v>5.29</v>
      </c>
      <c r="D16">
        <v>5.89</v>
      </c>
      <c r="E16">
        <v>1.1000000000000001</v>
      </c>
      <c r="F16">
        <v>56.775001525878899</v>
      </c>
      <c r="G16">
        <v>56.775001525878899</v>
      </c>
      <c r="H16">
        <f t="shared" si="0"/>
        <v>9.9603669258264471</v>
      </c>
    </row>
    <row r="17" spans="1:8" x14ac:dyDescent="0.2">
      <c r="A17" t="s">
        <v>16</v>
      </c>
      <c r="B17" s="1">
        <v>3944.49</v>
      </c>
      <c r="C17">
        <v>174.15</v>
      </c>
      <c r="D17">
        <v>204.11</v>
      </c>
      <c r="E17">
        <v>1.4</v>
      </c>
      <c r="F17">
        <v>3560.02490234375</v>
      </c>
      <c r="G17">
        <v>3560.02490234375</v>
      </c>
      <c r="H17">
        <f t="shared" si="0"/>
        <v>10.79950585185896</v>
      </c>
    </row>
    <row r="18" spans="1:8" x14ac:dyDescent="0.2">
      <c r="A18" t="s">
        <v>17</v>
      </c>
      <c r="B18">
        <v>919.57</v>
      </c>
      <c r="C18">
        <v>40.24</v>
      </c>
      <c r="D18">
        <v>45.74</v>
      </c>
      <c r="E18">
        <v>1.38</v>
      </c>
      <c r="F18">
        <v>825.82000732421898</v>
      </c>
      <c r="G18">
        <v>825.82000732421898</v>
      </c>
      <c r="H18">
        <f t="shared" si="0"/>
        <v>11.352351825374773</v>
      </c>
    </row>
    <row r="19" spans="1:8" x14ac:dyDescent="0.2">
      <c r="A19" t="s">
        <v>18</v>
      </c>
      <c r="B19">
        <v>56</v>
      </c>
      <c r="C19">
        <v>6.83</v>
      </c>
      <c r="D19">
        <v>7.1</v>
      </c>
      <c r="E19">
        <v>0.37</v>
      </c>
      <c r="F19">
        <v>53.174999237060497</v>
      </c>
      <c r="G19">
        <v>53.174999237060497</v>
      </c>
      <c r="H19">
        <f t="shared" si="0"/>
        <v>5.3126484315407563</v>
      </c>
    </row>
    <row r="20" spans="1:8" x14ac:dyDescent="0.2">
      <c r="A20" t="s">
        <v>19</v>
      </c>
      <c r="B20">
        <v>477</v>
      </c>
      <c r="C20">
        <v>18.55</v>
      </c>
      <c r="D20">
        <v>19.28</v>
      </c>
      <c r="E20">
        <v>0.89</v>
      </c>
      <c r="F20">
        <v>420.04000854492199</v>
      </c>
      <c r="G20">
        <v>420.04000854492199</v>
      </c>
      <c r="H20">
        <f t="shared" si="0"/>
        <v>13.560610964749632</v>
      </c>
    </row>
    <row r="21" spans="1:8" x14ac:dyDescent="0.2">
      <c r="A21" t="s">
        <v>20</v>
      </c>
      <c r="B21">
        <v>62.88</v>
      </c>
      <c r="C21">
        <v>5.81</v>
      </c>
      <c r="D21">
        <v>7.19</v>
      </c>
      <c r="E21">
        <v>1.5</v>
      </c>
      <c r="F21">
        <v>63.325000762939503</v>
      </c>
      <c r="G21">
        <v>63.325000762939503</v>
      </c>
      <c r="H21">
        <f t="shared" si="0"/>
        <v>-0.70272523897060291</v>
      </c>
    </row>
    <row r="22" spans="1:8" x14ac:dyDescent="0.2">
      <c r="A22" t="s">
        <v>21</v>
      </c>
      <c r="B22">
        <v>317.02</v>
      </c>
      <c r="C22">
        <v>21.27</v>
      </c>
      <c r="D22">
        <v>22.42</v>
      </c>
      <c r="E22">
        <v>1.1499999999999999</v>
      </c>
      <c r="F22">
        <v>363.20989990234398</v>
      </c>
      <c r="G22">
        <v>363.20989990234398</v>
      </c>
      <c r="H22">
        <f t="shared" si="0"/>
        <v>-12.717136816690033</v>
      </c>
    </row>
    <row r="23" spans="1:8" x14ac:dyDescent="0.2">
      <c r="A23" t="s">
        <v>22</v>
      </c>
      <c r="B23">
        <v>383.02</v>
      </c>
      <c r="C23">
        <v>34.33</v>
      </c>
      <c r="D23">
        <v>37.03</v>
      </c>
      <c r="E23">
        <v>0.96</v>
      </c>
      <c r="F23">
        <v>282.92498779296898</v>
      </c>
      <c r="G23">
        <v>282.92498779296898</v>
      </c>
      <c r="H23">
        <f t="shared" si="0"/>
        <v>35.378639754603711</v>
      </c>
    </row>
    <row r="24" spans="1:8" x14ac:dyDescent="0.2">
      <c r="A24" t="s">
        <v>23</v>
      </c>
      <c r="B24">
        <v>89.38</v>
      </c>
      <c r="C24">
        <v>3.49</v>
      </c>
      <c r="D24">
        <v>3.8</v>
      </c>
      <c r="E24">
        <v>0.41</v>
      </c>
      <c r="F24">
        <v>89.014999389648395</v>
      </c>
      <c r="G24">
        <v>89.014999389648395</v>
      </c>
      <c r="H24">
        <f t="shared" si="0"/>
        <v>0.41004393962176255</v>
      </c>
    </row>
    <row r="25" spans="1:8" x14ac:dyDescent="0.2">
      <c r="A25" t="s">
        <v>24</v>
      </c>
      <c r="B25">
        <v>50.49</v>
      </c>
      <c r="C25">
        <v>4.24</v>
      </c>
      <c r="D25">
        <v>4.5999999999999996</v>
      </c>
      <c r="E25">
        <v>0.98</v>
      </c>
      <c r="F25">
        <v>42.305000305175803</v>
      </c>
      <c r="G25">
        <v>42.305000305175803</v>
      </c>
      <c r="H25">
        <f t="shared" si="0"/>
        <v>19.347593986006451</v>
      </c>
    </row>
    <row r="26" spans="1:8" x14ac:dyDescent="0.2">
      <c r="A26" t="s">
        <v>25</v>
      </c>
      <c r="B26">
        <v>144.07</v>
      </c>
      <c r="C26">
        <v>13.91</v>
      </c>
      <c r="D26">
        <v>16.43</v>
      </c>
      <c r="E26">
        <v>1.48</v>
      </c>
      <c r="F26">
        <v>145.10000610351599</v>
      </c>
      <c r="G26">
        <v>145.10000610351599</v>
      </c>
      <c r="H26">
        <f t="shared" si="0"/>
        <v>-0.70985944878677598</v>
      </c>
    </row>
    <row r="27" spans="1:8" x14ac:dyDescent="0.2">
      <c r="A27" t="s">
        <v>26</v>
      </c>
      <c r="B27">
        <v>136.46</v>
      </c>
      <c r="C27">
        <v>8.6199999999999992</v>
      </c>
      <c r="D27">
        <v>9.7100000000000009</v>
      </c>
      <c r="E27">
        <v>1.24</v>
      </c>
      <c r="F27">
        <v>128.85499572753901</v>
      </c>
      <c r="G27">
        <v>128.85499572753901</v>
      </c>
      <c r="H27">
        <f t="shared" si="0"/>
        <v>5.9019863603438472</v>
      </c>
    </row>
    <row r="28" spans="1:8" x14ac:dyDescent="0.2">
      <c r="A28" t="s">
        <v>27</v>
      </c>
      <c r="B28">
        <v>780.2</v>
      </c>
      <c r="C28">
        <v>16.16</v>
      </c>
      <c r="D28">
        <v>17.37</v>
      </c>
      <c r="E28">
        <v>0.76</v>
      </c>
      <c r="F28">
        <v>720.885009765625</v>
      </c>
      <c r="G28">
        <v>720.885009765625</v>
      </c>
      <c r="H28">
        <f t="shared" si="0"/>
        <v>8.2280792957062143</v>
      </c>
    </row>
    <row r="29" spans="1:8" x14ac:dyDescent="0.2">
      <c r="A29" t="s">
        <v>28</v>
      </c>
      <c r="B29">
        <v>328.93</v>
      </c>
      <c r="C29">
        <v>9.76</v>
      </c>
      <c r="D29">
        <v>11.03</v>
      </c>
      <c r="E29">
        <v>1.28</v>
      </c>
      <c r="F29">
        <v>301.60250854492199</v>
      </c>
      <c r="G29">
        <v>301.60250854492199</v>
      </c>
      <c r="H29">
        <f t="shared" si="0"/>
        <v>9.0607639793578656</v>
      </c>
    </row>
    <row r="30" spans="1:8" x14ac:dyDescent="0.2">
      <c r="A30" t="s">
        <v>29</v>
      </c>
      <c r="B30">
        <v>53.58</v>
      </c>
      <c r="C30">
        <v>3.71</v>
      </c>
      <c r="D30">
        <v>3.8</v>
      </c>
      <c r="E30">
        <v>0.85</v>
      </c>
      <c r="F30">
        <v>49.994998931884801</v>
      </c>
      <c r="G30">
        <v>49.994998931884801</v>
      </c>
      <c r="H30">
        <f t="shared" si="0"/>
        <v>7.170719361349609</v>
      </c>
    </row>
    <row r="31" spans="1:8" x14ac:dyDescent="0.2">
      <c r="A31" t="s">
        <v>30</v>
      </c>
      <c r="B31">
        <v>87.85</v>
      </c>
      <c r="C31">
        <v>8.31</v>
      </c>
      <c r="D31">
        <v>9.2200000000000006</v>
      </c>
      <c r="E31">
        <v>0.5</v>
      </c>
      <c r="F31">
        <v>79.290000915527301</v>
      </c>
      <c r="G31">
        <v>79.290000915527301</v>
      </c>
      <c r="H31">
        <f t="shared" si="0"/>
        <v>10.795811559634361</v>
      </c>
    </row>
    <row r="32" spans="1:8" x14ac:dyDescent="0.2">
      <c r="A32" t="s">
        <v>31</v>
      </c>
      <c r="B32">
        <v>176.43</v>
      </c>
      <c r="C32">
        <v>12.75</v>
      </c>
      <c r="D32">
        <v>14.43</v>
      </c>
      <c r="E32">
        <v>1.1200000000000001</v>
      </c>
      <c r="F32">
        <v>159.36500549316401</v>
      </c>
      <c r="G32">
        <v>159.36500549316401</v>
      </c>
      <c r="H32">
        <f t="shared" si="0"/>
        <v>10.708119046604626</v>
      </c>
    </row>
    <row r="33" spans="1:8" x14ac:dyDescent="0.2">
      <c r="A33" t="s">
        <v>32</v>
      </c>
      <c r="B33">
        <v>262.41000000000003</v>
      </c>
      <c r="C33">
        <v>7.62</v>
      </c>
      <c r="D33">
        <v>8.66</v>
      </c>
      <c r="E33">
        <v>0.86</v>
      </c>
      <c r="F33">
        <v>247.80000305175801</v>
      </c>
      <c r="G33">
        <v>247.80000305175801</v>
      </c>
      <c r="H33">
        <f t="shared" si="0"/>
        <v>5.8958824730887649</v>
      </c>
    </row>
    <row r="34" spans="1:8" x14ac:dyDescent="0.2">
      <c r="A34" t="s">
        <v>33</v>
      </c>
      <c r="B34">
        <v>121.84</v>
      </c>
      <c r="C34">
        <v>4.68</v>
      </c>
      <c r="D34">
        <v>5.48</v>
      </c>
      <c r="E34">
        <v>1.41</v>
      </c>
      <c r="F34">
        <v>121.43000030517599</v>
      </c>
      <c r="G34">
        <v>121.43000030517599</v>
      </c>
      <c r="H34">
        <f t="shared" si="0"/>
        <v>0.33764283438491027</v>
      </c>
    </row>
    <row r="35" spans="1:8" x14ac:dyDescent="0.2">
      <c r="A35" t="s">
        <v>34</v>
      </c>
      <c r="B35">
        <v>57.35</v>
      </c>
      <c r="C35">
        <v>3.02</v>
      </c>
      <c r="D35">
        <v>4.3099999999999996</v>
      </c>
      <c r="E35">
        <v>1.3</v>
      </c>
      <c r="F35">
        <v>58.224998474121101</v>
      </c>
      <c r="G35">
        <v>58.224998474121101</v>
      </c>
      <c r="H35">
        <f t="shared" si="0"/>
        <v>-1.5027883161044753</v>
      </c>
    </row>
    <row r="36" spans="1:8" x14ac:dyDescent="0.2">
      <c r="A36" t="s">
        <v>35</v>
      </c>
      <c r="B36">
        <v>103.84</v>
      </c>
      <c r="C36">
        <v>5.97</v>
      </c>
      <c r="D36">
        <v>6.33</v>
      </c>
      <c r="E36">
        <v>0.46</v>
      </c>
      <c r="F36">
        <v>96.099998474121094</v>
      </c>
      <c r="G36">
        <v>96.099998474121094</v>
      </c>
      <c r="H36">
        <f t="shared" si="0"/>
        <v>8.0541120174556724</v>
      </c>
    </row>
    <row r="37" spans="1:8" x14ac:dyDescent="0.2">
      <c r="A37" t="s">
        <v>36</v>
      </c>
      <c r="B37">
        <v>119.58</v>
      </c>
      <c r="C37">
        <v>5.39</v>
      </c>
      <c r="D37">
        <v>5.86</v>
      </c>
      <c r="E37">
        <v>1.36</v>
      </c>
      <c r="F37">
        <v>113.889999389648</v>
      </c>
      <c r="G37">
        <v>113.889999389648</v>
      </c>
      <c r="H37">
        <f t="shared" si="0"/>
        <v>4.9960493817240215</v>
      </c>
    </row>
    <row r="38" spans="1:8" x14ac:dyDescent="0.2">
      <c r="A38" t="s">
        <v>37</v>
      </c>
      <c r="B38">
        <v>39.29</v>
      </c>
      <c r="C38">
        <v>2.44</v>
      </c>
      <c r="D38">
        <v>2.62</v>
      </c>
      <c r="E38">
        <v>0.61</v>
      </c>
      <c r="F38">
        <v>37.325000762939503</v>
      </c>
      <c r="G38">
        <v>37.325000762939503</v>
      </c>
      <c r="H38">
        <f t="shared" si="0"/>
        <v>5.2645658322707067</v>
      </c>
    </row>
    <row r="39" spans="1:8" x14ac:dyDescent="0.2">
      <c r="A39" t="s">
        <v>38</v>
      </c>
      <c r="B39">
        <v>13.15</v>
      </c>
      <c r="C39">
        <v>1.87</v>
      </c>
      <c r="D39">
        <v>1.83</v>
      </c>
      <c r="E39">
        <v>1.64</v>
      </c>
      <c r="F39">
        <v>13.2650003433228</v>
      </c>
      <c r="G39">
        <v>13.2650003433228</v>
      </c>
      <c r="H39">
        <f t="shared" si="0"/>
        <v>-0.86694564904921112</v>
      </c>
    </row>
    <row r="40" spans="1:8" x14ac:dyDescent="0.2">
      <c r="A40" t="s">
        <v>39</v>
      </c>
      <c r="B40">
        <v>312.54000000000002</v>
      </c>
      <c r="C40">
        <v>17.77</v>
      </c>
      <c r="D40">
        <v>21.23</v>
      </c>
      <c r="E40">
        <v>1.21</v>
      </c>
      <c r="F40">
        <v>279.77999877929699</v>
      </c>
      <c r="G40">
        <v>279.77999877929699</v>
      </c>
      <c r="H40">
        <f t="shared" si="0"/>
        <v>11.709200573178059</v>
      </c>
    </row>
    <row r="41" spans="1:8" x14ac:dyDescent="0.2">
      <c r="A41" t="s">
        <v>40</v>
      </c>
      <c r="B41">
        <v>294.39999999999998</v>
      </c>
      <c r="C41">
        <v>14.63</v>
      </c>
      <c r="D41">
        <v>16.350000000000001</v>
      </c>
      <c r="E41">
        <v>0.68</v>
      </c>
      <c r="F41">
        <v>290.48498535156199</v>
      </c>
      <c r="G41">
        <v>290.48498535156199</v>
      </c>
      <c r="H41">
        <f t="shared" si="0"/>
        <v>1.3477511216973159</v>
      </c>
    </row>
    <row r="42" spans="1:8" x14ac:dyDescent="0.2">
      <c r="A42" t="s">
        <v>41</v>
      </c>
      <c r="B42">
        <v>176.47</v>
      </c>
      <c r="C42">
        <v>4.6399999999999997</v>
      </c>
      <c r="D42">
        <v>6.02</v>
      </c>
      <c r="E42">
        <v>1.22</v>
      </c>
      <c r="F42">
        <v>174.89999389648401</v>
      </c>
      <c r="G42">
        <v>174.89999389648401</v>
      </c>
      <c r="H42">
        <f t="shared" si="0"/>
        <v>0.89765932435950102</v>
      </c>
    </row>
    <row r="43" spans="1:8" x14ac:dyDescent="0.2">
      <c r="A43" t="s">
        <v>42</v>
      </c>
      <c r="B43">
        <v>85.04</v>
      </c>
      <c r="C43">
        <v>7.09</v>
      </c>
      <c r="D43">
        <v>7.43</v>
      </c>
      <c r="E43">
        <v>0.2</v>
      </c>
      <c r="F43">
        <v>72.805000305175795</v>
      </c>
      <c r="G43">
        <v>72.805000305175795</v>
      </c>
      <c r="H43">
        <f t="shared" si="0"/>
        <v>16.80516399085079</v>
      </c>
    </row>
    <row r="44" spans="1:8" x14ac:dyDescent="0.2">
      <c r="A44" t="s">
        <v>43</v>
      </c>
      <c r="B44">
        <v>49.91</v>
      </c>
      <c r="C44">
        <v>8.98</v>
      </c>
      <c r="D44">
        <v>9.2100000000000009</v>
      </c>
      <c r="E44">
        <v>1.5</v>
      </c>
      <c r="F44">
        <v>45.435001373291001</v>
      </c>
      <c r="G44">
        <v>45.435001373291001</v>
      </c>
      <c r="H44">
        <f t="shared" si="0"/>
        <v>9.8492318508867083</v>
      </c>
    </row>
    <row r="45" spans="1:8" x14ac:dyDescent="0.2">
      <c r="A45" t="s">
        <v>44</v>
      </c>
      <c r="B45">
        <v>162.19999999999999</v>
      </c>
      <c r="C45">
        <v>6.8</v>
      </c>
      <c r="D45">
        <v>7.82</v>
      </c>
      <c r="E45">
        <v>1.04</v>
      </c>
      <c r="F45">
        <v>156.11999511718801</v>
      </c>
      <c r="G45">
        <v>156.11999511718801</v>
      </c>
      <c r="H45">
        <f t="shared" si="0"/>
        <v>3.8944434236294789</v>
      </c>
    </row>
    <row r="46" spans="1:8" x14ac:dyDescent="0.2">
      <c r="A46" t="s">
        <v>45</v>
      </c>
      <c r="B46">
        <v>163.12</v>
      </c>
      <c r="C46">
        <v>6.81</v>
      </c>
      <c r="D46">
        <v>7.84</v>
      </c>
      <c r="E46">
        <v>1.04</v>
      </c>
      <c r="F46">
        <v>154.99499511718801</v>
      </c>
      <c r="G46">
        <v>154.99499511718801</v>
      </c>
      <c r="H46">
        <f t="shared" si="0"/>
        <v>5.2421078994640213</v>
      </c>
    </row>
    <row r="47" spans="1:8" x14ac:dyDescent="0.2">
      <c r="A47" t="s">
        <v>46</v>
      </c>
      <c r="B47">
        <v>421.68</v>
      </c>
      <c r="C47">
        <v>33.979999999999997</v>
      </c>
      <c r="D47">
        <v>39</v>
      </c>
      <c r="E47">
        <v>1.42</v>
      </c>
      <c r="F47">
        <v>412.67999267578102</v>
      </c>
      <c r="G47">
        <v>412.67999267578102</v>
      </c>
      <c r="H47">
        <f t="shared" si="0"/>
        <v>2.180868344468001</v>
      </c>
    </row>
    <row r="48" spans="1:8" x14ac:dyDescent="0.2">
      <c r="A48" t="s">
        <v>47</v>
      </c>
      <c r="B48">
        <v>383.98</v>
      </c>
      <c r="C48">
        <v>15.36</v>
      </c>
      <c r="D48">
        <v>16.489999999999998</v>
      </c>
      <c r="E48">
        <v>0.99</v>
      </c>
      <c r="F48">
        <v>368.760009765625</v>
      </c>
      <c r="G48">
        <v>368.760009765625</v>
      </c>
      <c r="H48">
        <f t="shared" si="0"/>
        <v>4.12734294156476</v>
      </c>
    </row>
    <row r="49" spans="1:8" x14ac:dyDescent="0.2">
      <c r="A49" t="s">
        <v>48</v>
      </c>
      <c r="B49">
        <v>219.65</v>
      </c>
      <c r="C49">
        <v>9.9600000000000009</v>
      </c>
      <c r="D49">
        <v>10.9</v>
      </c>
      <c r="E49">
        <v>1.02</v>
      </c>
      <c r="F49">
        <v>202.25500488281199</v>
      </c>
      <c r="G49">
        <v>202.25500488281199</v>
      </c>
      <c r="H49">
        <f t="shared" si="0"/>
        <v>8.6005264133101722</v>
      </c>
    </row>
    <row r="50" spans="1:8" x14ac:dyDescent="0.2">
      <c r="A50" t="s">
        <v>49</v>
      </c>
      <c r="B50">
        <v>188.24</v>
      </c>
      <c r="C50">
        <v>10.1</v>
      </c>
      <c r="D50">
        <v>10.67</v>
      </c>
      <c r="E50">
        <v>0.71</v>
      </c>
      <c r="F50">
        <v>189.30000305175801</v>
      </c>
      <c r="G50">
        <v>189.30000305175801</v>
      </c>
      <c r="H50">
        <f t="shared" si="0"/>
        <v>-0.55995934213913801</v>
      </c>
    </row>
    <row r="51" spans="1:8" x14ac:dyDescent="0.2">
      <c r="A51" t="s">
        <v>50</v>
      </c>
      <c r="B51">
        <v>44.97</v>
      </c>
      <c r="C51">
        <v>1.34</v>
      </c>
      <c r="D51">
        <v>2.2400000000000002</v>
      </c>
      <c r="E51">
        <v>1</v>
      </c>
      <c r="F51">
        <v>44.291000366210902</v>
      </c>
      <c r="G51">
        <v>44.291000366210902</v>
      </c>
      <c r="H51">
        <f t="shared" si="0"/>
        <v>1.5330419908670567</v>
      </c>
    </row>
    <row r="52" spans="1:8" x14ac:dyDescent="0.2">
      <c r="A52" t="s">
        <v>51</v>
      </c>
      <c r="B52">
        <v>176.22</v>
      </c>
      <c r="C52">
        <v>10.65</v>
      </c>
      <c r="D52">
        <v>11.03</v>
      </c>
      <c r="E52">
        <v>0.53</v>
      </c>
      <c r="F52">
        <v>157.76499938964801</v>
      </c>
      <c r="G52">
        <v>157.76499938964801</v>
      </c>
      <c r="H52">
        <f t="shared" si="0"/>
        <v>11.697778773333511</v>
      </c>
    </row>
    <row r="53" spans="1:8" x14ac:dyDescent="0.2">
      <c r="A53" t="s">
        <v>52</v>
      </c>
      <c r="B53">
        <v>197.53</v>
      </c>
      <c r="C53">
        <v>15.92</v>
      </c>
      <c r="D53">
        <v>16.21</v>
      </c>
      <c r="E53">
        <v>1.1299999999999999</v>
      </c>
      <c r="F53">
        <v>198.80000305175801</v>
      </c>
      <c r="G53">
        <v>198.80000305175801</v>
      </c>
      <c r="H53">
        <f t="shared" si="0"/>
        <v>-0.6388345232707926</v>
      </c>
    </row>
    <row r="54" spans="1:8" x14ac:dyDescent="0.2">
      <c r="A54" t="s">
        <v>53</v>
      </c>
      <c r="B54">
        <v>39.11</v>
      </c>
      <c r="C54">
        <v>3.04</v>
      </c>
      <c r="D54">
        <v>3.21</v>
      </c>
      <c r="E54">
        <v>0.67</v>
      </c>
      <c r="F54">
        <v>37.154998779296903</v>
      </c>
      <c r="G54">
        <v>37.154998779296903</v>
      </c>
      <c r="H54">
        <f t="shared" si="0"/>
        <v>5.261744812093605</v>
      </c>
    </row>
    <row r="55" spans="1:8" x14ac:dyDescent="0.2">
      <c r="A55" t="s">
        <v>54</v>
      </c>
      <c r="B55">
        <v>66.55</v>
      </c>
      <c r="C55">
        <v>2.81</v>
      </c>
      <c r="D55">
        <v>3</v>
      </c>
      <c r="E55">
        <v>0.59</v>
      </c>
      <c r="F55">
        <v>60.724998474121101</v>
      </c>
      <c r="G55">
        <v>60.724998474121101</v>
      </c>
      <c r="H55">
        <f t="shared" si="0"/>
        <v>9.5924276200044964</v>
      </c>
    </row>
    <row r="56" spans="1:8" x14ac:dyDescent="0.2">
      <c r="A56" t="s">
        <v>55</v>
      </c>
      <c r="B56">
        <v>466.53</v>
      </c>
      <c r="C56">
        <v>15.51</v>
      </c>
      <c r="D56">
        <v>17.13</v>
      </c>
      <c r="E56">
        <v>0.94</v>
      </c>
      <c r="F56">
        <v>463.26998901367199</v>
      </c>
      <c r="G56">
        <v>463.26998901367199</v>
      </c>
      <c r="H56">
        <f t="shared" si="0"/>
        <v>0.70369569875845528</v>
      </c>
    </row>
    <row r="57" spans="1:8" x14ac:dyDescent="0.2">
      <c r="A57" t="s">
        <v>56</v>
      </c>
      <c r="B57">
        <v>809.74</v>
      </c>
      <c r="C57">
        <v>12.49</v>
      </c>
      <c r="D57">
        <v>18.190000000000001</v>
      </c>
      <c r="E57">
        <v>0.34</v>
      </c>
      <c r="F57">
        <v>759.57501220703102</v>
      </c>
      <c r="G57">
        <v>759.57501220703102</v>
      </c>
      <c r="H57">
        <f t="shared" si="0"/>
        <v>6.6043494041765571</v>
      </c>
    </row>
    <row r="58" spans="1:8" x14ac:dyDescent="0.2">
      <c r="A58" t="s">
        <v>57</v>
      </c>
      <c r="B58">
        <v>483.3</v>
      </c>
      <c r="C58">
        <v>26</v>
      </c>
      <c r="D58">
        <v>27.65</v>
      </c>
      <c r="E58">
        <v>0.47</v>
      </c>
      <c r="F58">
        <v>453.23001098632801</v>
      </c>
      <c r="G58">
        <v>453.23001098632801</v>
      </c>
      <c r="H58">
        <f t="shared" si="0"/>
        <v>6.6345979491148732</v>
      </c>
    </row>
    <row r="59" spans="1:8" x14ac:dyDescent="0.2">
      <c r="A59" t="s">
        <v>58</v>
      </c>
      <c r="B59">
        <v>251.46</v>
      </c>
      <c r="C59">
        <v>12.18</v>
      </c>
      <c r="D59">
        <v>13.44</v>
      </c>
      <c r="E59">
        <v>1.1200000000000001</v>
      </c>
      <c r="F59">
        <v>248.69999694824199</v>
      </c>
      <c r="G59">
        <v>248.69999694824199</v>
      </c>
      <c r="H59">
        <f t="shared" si="0"/>
        <v>1.1097720489045448</v>
      </c>
    </row>
    <row r="60" spans="1:8" x14ac:dyDescent="0.2">
      <c r="A60" t="s">
        <v>59</v>
      </c>
      <c r="B60">
        <v>508.52</v>
      </c>
      <c r="C60">
        <v>14.39</v>
      </c>
      <c r="D60">
        <v>16.760000000000002</v>
      </c>
      <c r="E60">
        <v>1.08</v>
      </c>
      <c r="F60">
        <v>477.64999389648398</v>
      </c>
      <c r="G60">
        <v>477.64999389648398</v>
      </c>
      <c r="H60">
        <f t="shared" si="0"/>
        <v>6.462892598760539</v>
      </c>
    </row>
    <row r="61" spans="1:8" x14ac:dyDescent="0.2">
      <c r="A61" t="s">
        <v>60</v>
      </c>
      <c r="B61">
        <v>326.87</v>
      </c>
      <c r="C61">
        <v>12.44</v>
      </c>
      <c r="D61">
        <v>13.56</v>
      </c>
      <c r="E61">
        <v>0.72</v>
      </c>
      <c r="F61">
        <v>280.01651000976602</v>
      </c>
      <c r="G61">
        <v>280.01651000976602</v>
      </c>
      <c r="H61">
        <f t="shared" si="0"/>
        <v>16.732402667471248</v>
      </c>
    </row>
    <row r="62" spans="1:8" x14ac:dyDescent="0.2">
      <c r="A62" t="s">
        <v>61</v>
      </c>
      <c r="B62">
        <v>83.83</v>
      </c>
      <c r="C62">
        <v>3.52</v>
      </c>
      <c r="D62">
        <v>3.81</v>
      </c>
      <c r="E62">
        <v>0.57999999999999996</v>
      </c>
      <c r="F62">
        <v>69.665000915527301</v>
      </c>
      <c r="G62">
        <v>69.665000915527301</v>
      </c>
      <c r="H62">
        <f t="shared" si="0"/>
        <v>20.333020739709085</v>
      </c>
    </row>
    <row r="63" spans="1:8" x14ac:dyDescent="0.2">
      <c r="A63" t="s">
        <v>62</v>
      </c>
      <c r="B63">
        <v>93.75</v>
      </c>
      <c r="C63">
        <v>5.2</v>
      </c>
      <c r="D63">
        <v>5.45</v>
      </c>
      <c r="E63">
        <v>0.77</v>
      </c>
      <c r="F63">
        <v>86.845001220703097</v>
      </c>
      <c r="G63">
        <v>86.845001220703097</v>
      </c>
      <c r="H63">
        <f t="shared" si="0"/>
        <v>7.9509455722718281</v>
      </c>
    </row>
    <row r="64" spans="1:8" x14ac:dyDescent="0.2">
      <c r="A64" t="s">
        <v>63</v>
      </c>
      <c r="B64">
        <v>81.489999999999995</v>
      </c>
      <c r="C64">
        <v>8.77</v>
      </c>
      <c r="D64">
        <v>9.9600000000000009</v>
      </c>
      <c r="E64">
        <v>1.03</v>
      </c>
      <c r="F64">
        <v>73.580001831054702</v>
      </c>
      <c r="G64">
        <v>73.580001831054702</v>
      </c>
      <c r="H64">
        <f t="shared" si="0"/>
        <v>10.750201103701041</v>
      </c>
    </row>
    <row r="65" spans="1:8" x14ac:dyDescent="0.2">
      <c r="A65" t="s">
        <v>64</v>
      </c>
      <c r="B65">
        <v>516.4</v>
      </c>
      <c r="C65">
        <v>20</v>
      </c>
      <c r="D65">
        <v>23.16</v>
      </c>
      <c r="E65">
        <v>1.21</v>
      </c>
      <c r="F65">
        <v>490.30999755859398</v>
      </c>
      <c r="G65">
        <v>490.30999755859398</v>
      </c>
      <c r="H65">
        <f t="shared" si="0"/>
        <v>5.3211238953552398</v>
      </c>
    </row>
    <row r="66" spans="1:8" x14ac:dyDescent="0.2">
      <c r="A66" t="s">
        <v>65</v>
      </c>
      <c r="B66">
        <v>105.77</v>
      </c>
      <c r="C66">
        <v>9.58</v>
      </c>
      <c r="D66">
        <v>10.19</v>
      </c>
      <c r="E66">
        <v>1</v>
      </c>
      <c r="F66">
        <v>94.199996948242202</v>
      </c>
      <c r="G66">
        <v>94.199996948242202</v>
      </c>
      <c r="H66">
        <f t="shared" si="0"/>
        <v>12.282381556885703</v>
      </c>
    </row>
    <row r="67" spans="1:8" x14ac:dyDescent="0.2">
      <c r="A67" t="s">
        <v>66</v>
      </c>
      <c r="B67">
        <v>46.55</v>
      </c>
      <c r="C67">
        <v>5.0599999999999996</v>
      </c>
      <c r="D67">
        <v>5.27</v>
      </c>
      <c r="E67">
        <v>0.68</v>
      </c>
      <c r="F67">
        <v>43.314998626708999</v>
      </c>
      <c r="G67">
        <v>43.314998626708999</v>
      </c>
      <c r="H67">
        <f t="shared" ref="H67:H103" si="1">(B67/F67-1)*100</f>
        <v>7.4685477914253617</v>
      </c>
    </row>
    <row r="68" spans="1:8" x14ac:dyDescent="0.2">
      <c r="A68" t="s">
        <v>67</v>
      </c>
      <c r="B68">
        <v>136.06</v>
      </c>
      <c r="C68">
        <v>8.57</v>
      </c>
      <c r="D68">
        <v>9.77</v>
      </c>
      <c r="E68">
        <v>0.38</v>
      </c>
      <c r="F68">
        <v>130.83999633789099</v>
      </c>
      <c r="G68">
        <v>130.83999633789099</v>
      </c>
      <c r="H68">
        <f t="shared" si="1"/>
        <v>3.989608535778677</v>
      </c>
    </row>
    <row r="69" spans="1:8" x14ac:dyDescent="0.2">
      <c r="A69" t="s">
        <v>68</v>
      </c>
      <c r="B69">
        <v>95</v>
      </c>
      <c r="C69">
        <v>6.4</v>
      </c>
      <c r="D69">
        <v>7.32</v>
      </c>
      <c r="E69">
        <v>1.41</v>
      </c>
      <c r="F69">
        <v>93.400001525878906</v>
      </c>
      <c r="G69">
        <v>93.400001525878906</v>
      </c>
      <c r="H69">
        <f t="shared" si="1"/>
        <v>1.7130604368114088</v>
      </c>
    </row>
    <row r="70" spans="1:8" x14ac:dyDescent="0.2">
      <c r="A70" t="s">
        <v>69</v>
      </c>
      <c r="B70">
        <v>459.15</v>
      </c>
      <c r="C70">
        <v>11.65</v>
      </c>
      <c r="D70">
        <v>13.37</v>
      </c>
      <c r="E70">
        <v>0.89</v>
      </c>
      <c r="F70">
        <v>422.90008544921898</v>
      </c>
      <c r="G70">
        <v>422.90008544921898</v>
      </c>
      <c r="H70">
        <f t="shared" si="1"/>
        <v>8.5717444375247975</v>
      </c>
    </row>
    <row r="71" spans="1:8" x14ac:dyDescent="0.2">
      <c r="A71" t="s">
        <v>70</v>
      </c>
      <c r="B71">
        <v>70.069999999999993</v>
      </c>
      <c r="C71">
        <v>3.4</v>
      </c>
      <c r="D71">
        <v>3.68</v>
      </c>
      <c r="E71">
        <v>0.5</v>
      </c>
      <c r="F71">
        <v>63.514999389648402</v>
      </c>
      <c r="G71">
        <v>63.514999389648402</v>
      </c>
      <c r="H71">
        <f t="shared" si="1"/>
        <v>10.320397816802807</v>
      </c>
    </row>
    <row r="72" spans="1:8" x14ac:dyDescent="0.2">
      <c r="A72" t="s">
        <v>71</v>
      </c>
      <c r="B72">
        <v>609.98</v>
      </c>
      <c r="C72">
        <v>17.16</v>
      </c>
      <c r="D72">
        <v>21.2</v>
      </c>
      <c r="E72">
        <v>1.22</v>
      </c>
      <c r="F72">
        <v>613.16497802734398</v>
      </c>
      <c r="G72">
        <v>613.16497802734398</v>
      </c>
      <c r="H72">
        <f t="shared" si="1"/>
        <v>-0.51943247600190201</v>
      </c>
    </row>
    <row r="73" spans="1:8" x14ac:dyDescent="0.2">
      <c r="A73" t="s">
        <v>72</v>
      </c>
      <c r="B73">
        <v>111</v>
      </c>
      <c r="C73">
        <v>3.58</v>
      </c>
      <c r="D73">
        <v>3.97</v>
      </c>
      <c r="E73">
        <v>1.1000000000000001</v>
      </c>
      <c r="F73">
        <v>92.529998779296903</v>
      </c>
      <c r="G73">
        <v>92.529998779296903</v>
      </c>
      <c r="H73">
        <f t="shared" si="1"/>
        <v>19.961095281928888</v>
      </c>
    </row>
    <row r="74" spans="1:8" x14ac:dyDescent="0.2">
      <c r="A74" t="s">
        <v>73</v>
      </c>
      <c r="B74">
        <v>979.64</v>
      </c>
      <c r="C74">
        <v>24.44</v>
      </c>
      <c r="D74">
        <v>30.37</v>
      </c>
      <c r="E74">
        <v>1.73</v>
      </c>
      <c r="F74">
        <v>899</v>
      </c>
      <c r="G74">
        <v>899</v>
      </c>
      <c r="H74">
        <f t="shared" si="1"/>
        <v>8.9699666295884217</v>
      </c>
    </row>
    <row r="75" spans="1:8" x14ac:dyDescent="0.2">
      <c r="A75" t="s">
        <v>74</v>
      </c>
      <c r="B75">
        <v>140.07</v>
      </c>
      <c r="C75">
        <v>5.59</v>
      </c>
      <c r="D75">
        <v>6.23</v>
      </c>
      <c r="E75">
        <v>0.99</v>
      </c>
      <c r="F75">
        <v>125.110000610352</v>
      </c>
      <c r="G75">
        <v>125.110000610352</v>
      </c>
      <c r="H75">
        <f t="shared" si="1"/>
        <v>11.957476873683381</v>
      </c>
    </row>
    <row r="76" spans="1:8" x14ac:dyDescent="0.2">
      <c r="A76" t="s">
        <v>75</v>
      </c>
      <c r="B76">
        <v>187.03</v>
      </c>
      <c r="C76">
        <v>8.16</v>
      </c>
      <c r="D76">
        <v>8.82</v>
      </c>
      <c r="E76">
        <v>0.53</v>
      </c>
      <c r="F76">
        <v>172.89999389648401</v>
      </c>
      <c r="G76">
        <v>172.89999389648401</v>
      </c>
      <c r="H76">
        <f t="shared" si="1"/>
        <v>8.1723577804032175</v>
      </c>
    </row>
    <row r="77" spans="1:8" x14ac:dyDescent="0.2">
      <c r="A77" t="s">
        <v>76</v>
      </c>
      <c r="B77">
        <v>32.18</v>
      </c>
      <c r="C77">
        <v>2.2000000000000002</v>
      </c>
      <c r="D77">
        <v>2.76</v>
      </c>
      <c r="E77">
        <v>0.56000000000000005</v>
      </c>
      <c r="F77">
        <v>27.7399997711182</v>
      </c>
      <c r="G77">
        <v>27.7399997711182</v>
      </c>
      <c r="H77">
        <f t="shared" si="1"/>
        <v>16.005768801427877</v>
      </c>
    </row>
    <row r="78" spans="1:8" x14ac:dyDescent="0.2">
      <c r="A78" t="s">
        <v>77</v>
      </c>
      <c r="B78">
        <v>169.8</v>
      </c>
      <c r="C78">
        <v>6.45</v>
      </c>
      <c r="D78">
        <v>6.96</v>
      </c>
      <c r="E78">
        <v>0.43</v>
      </c>
      <c r="F78">
        <v>160.61999511718801</v>
      </c>
      <c r="G78">
        <v>160.61999511718801</v>
      </c>
      <c r="H78">
        <f t="shared" si="1"/>
        <v>5.7153562208206221</v>
      </c>
    </row>
    <row r="79" spans="1:8" x14ac:dyDescent="0.2">
      <c r="A79" t="s">
        <v>78</v>
      </c>
      <c r="B79">
        <v>108.85</v>
      </c>
      <c r="C79">
        <v>6.4</v>
      </c>
      <c r="D79">
        <v>7.03</v>
      </c>
      <c r="E79">
        <v>0.63</v>
      </c>
      <c r="F79">
        <v>91.814399719238295</v>
      </c>
      <c r="G79">
        <v>91.814399719238295</v>
      </c>
      <c r="H79">
        <f t="shared" si="1"/>
        <v>18.554388345243567</v>
      </c>
    </row>
    <row r="80" spans="1:8" x14ac:dyDescent="0.2">
      <c r="A80" t="s">
        <v>79</v>
      </c>
      <c r="B80">
        <v>70.319999999999993</v>
      </c>
      <c r="C80">
        <v>5.07</v>
      </c>
      <c r="D80">
        <v>5.59</v>
      </c>
      <c r="E80">
        <v>1.44</v>
      </c>
      <c r="F80">
        <v>65.434997558593807</v>
      </c>
      <c r="G80">
        <v>65.434997558593807</v>
      </c>
      <c r="H80">
        <f t="shared" si="1"/>
        <v>7.4654277124896584</v>
      </c>
    </row>
    <row r="81" spans="1:8" x14ac:dyDescent="0.2">
      <c r="A81" t="s">
        <v>80</v>
      </c>
      <c r="B81">
        <v>163.15</v>
      </c>
      <c r="C81">
        <v>9.76</v>
      </c>
      <c r="D81">
        <v>10.76</v>
      </c>
      <c r="E81">
        <v>1.41</v>
      </c>
      <c r="F81">
        <v>171.580001831055</v>
      </c>
      <c r="G81">
        <v>171.580001831055</v>
      </c>
      <c r="H81">
        <f t="shared" si="1"/>
        <v>-4.9131610567037631</v>
      </c>
    </row>
    <row r="82" spans="1:8" x14ac:dyDescent="0.2">
      <c r="A82" t="s">
        <v>81</v>
      </c>
      <c r="B82">
        <v>96</v>
      </c>
      <c r="C82">
        <v>5.38</v>
      </c>
      <c r="D82">
        <v>6.11</v>
      </c>
      <c r="E82">
        <v>0.61</v>
      </c>
      <c r="F82">
        <v>97.785003662109403</v>
      </c>
      <c r="G82">
        <v>97.785003662109403</v>
      </c>
      <c r="H82">
        <f t="shared" si="1"/>
        <v>-1.8254370253718899</v>
      </c>
    </row>
    <row r="83" spans="1:8" x14ac:dyDescent="0.2">
      <c r="A83" t="s">
        <v>82</v>
      </c>
      <c r="B83">
        <v>106.52</v>
      </c>
      <c r="C83">
        <v>4.0599999999999996</v>
      </c>
      <c r="D83">
        <v>4.72</v>
      </c>
      <c r="E83">
        <v>0.98</v>
      </c>
      <c r="F83">
        <v>91.275001525878906</v>
      </c>
      <c r="G83">
        <v>91.275001525878906</v>
      </c>
      <c r="H83">
        <f t="shared" si="1"/>
        <v>16.702271398810907</v>
      </c>
    </row>
    <row r="84" spans="1:8" x14ac:dyDescent="0.2">
      <c r="A84" t="s">
        <v>83</v>
      </c>
      <c r="B84">
        <v>71.95</v>
      </c>
      <c r="C84">
        <v>3.37</v>
      </c>
      <c r="D84">
        <v>4.33</v>
      </c>
      <c r="E84">
        <v>1</v>
      </c>
      <c r="F84">
        <v>72.154998779296903</v>
      </c>
      <c r="G84">
        <v>72.154998779296903</v>
      </c>
      <c r="H84">
        <f t="shared" si="1"/>
        <v>-0.28410890827389457</v>
      </c>
    </row>
    <row r="85" spans="1:8" x14ac:dyDescent="0.2">
      <c r="A85" t="s">
        <v>84</v>
      </c>
      <c r="B85">
        <v>74.650000000000006</v>
      </c>
      <c r="C85">
        <v>4.01</v>
      </c>
      <c r="D85">
        <v>4.32</v>
      </c>
      <c r="E85">
        <v>0.49</v>
      </c>
      <c r="F85">
        <v>71.080001831054702</v>
      </c>
      <c r="G85">
        <v>71.080001831054702</v>
      </c>
      <c r="H85">
        <f t="shared" si="1"/>
        <v>5.0225071426286627</v>
      </c>
    </row>
    <row r="86" spans="1:8" x14ac:dyDescent="0.2">
      <c r="A86" t="s">
        <v>85</v>
      </c>
      <c r="B86">
        <v>156.53</v>
      </c>
      <c r="C86">
        <v>6.07</v>
      </c>
      <c r="D86">
        <v>6.3</v>
      </c>
      <c r="E86">
        <v>1.68</v>
      </c>
      <c r="F86">
        <v>153.44599914550801</v>
      </c>
      <c r="G86">
        <v>153.44599914550801</v>
      </c>
      <c r="H86">
        <f t="shared" si="1"/>
        <v>2.0098281295477305</v>
      </c>
    </row>
    <row r="87" spans="1:8" x14ac:dyDescent="0.2">
      <c r="A87" t="s">
        <v>86</v>
      </c>
      <c r="B87">
        <v>19.510000000000002</v>
      </c>
      <c r="C87">
        <v>2.21</v>
      </c>
      <c r="D87">
        <v>2.2999999999999998</v>
      </c>
      <c r="E87">
        <v>0.69</v>
      </c>
      <c r="F87">
        <v>17.485000610351602</v>
      </c>
      <c r="G87">
        <v>17.485000610351602</v>
      </c>
      <c r="H87">
        <f t="shared" si="1"/>
        <v>11.581351552538944</v>
      </c>
    </row>
    <row r="88" spans="1:8" x14ac:dyDescent="0.2">
      <c r="A88" t="s">
        <v>87</v>
      </c>
      <c r="B88">
        <v>183.98</v>
      </c>
      <c r="C88">
        <v>9.4</v>
      </c>
      <c r="D88">
        <v>10.51</v>
      </c>
      <c r="E88">
        <v>1.1299999999999999</v>
      </c>
      <c r="F88">
        <v>178.14999389648401</v>
      </c>
      <c r="G88">
        <v>178.14999389648401</v>
      </c>
      <c r="H88">
        <f t="shared" si="1"/>
        <v>3.2725266928179453</v>
      </c>
    </row>
    <row r="89" spans="1:8" x14ac:dyDescent="0.2">
      <c r="A89" t="s">
        <v>88</v>
      </c>
      <c r="B89">
        <v>597.91</v>
      </c>
      <c r="C89">
        <v>21.56</v>
      </c>
      <c r="D89">
        <v>24.12</v>
      </c>
      <c r="E89">
        <v>0.8</v>
      </c>
      <c r="F89">
        <v>576.84002685546898</v>
      </c>
      <c r="G89">
        <v>576.84002685546898</v>
      </c>
      <c r="H89">
        <f t="shared" si="1"/>
        <v>3.652654490602858</v>
      </c>
    </row>
    <row r="90" spans="1:8" x14ac:dyDescent="0.2">
      <c r="A90" t="s">
        <v>89</v>
      </c>
      <c r="B90">
        <v>186.95</v>
      </c>
      <c r="C90">
        <v>8.91</v>
      </c>
      <c r="D90">
        <v>11.04</v>
      </c>
      <c r="E90">
        <v>0.49</v>
      </c>
      <c r="F90">
        <v>162.64999389648401</v>
      </c>
      <c r="G90">
        <v>162.64999389648401</v>
      </c>
      <c r="H90">
        <f t="shared" si="1"/>
        <v>14.940059646716829</v>
      </c>
    </row>
    <row r="91" spans="1:8" x14ac:dyDescent="0.2">
      <c r="A91" t="s">
        <v>90</v>
      </c>
      <c r="B91">
        <v>192.88</v>
      </c>
      <c r="C91">
        <v>2.91</v>
      </c>
      <c r="D91">
        <v>3.94</v>
      </c>
      <c r="E91">
        <v>2.41</v>
      </c>
      <c r="F91">
        <v>173.94209289550801</v>
      </c>
      <c r="G91">
        <v>173.94209289550801</v>
      </c>
      <c r="H91">
        <f t="shared" si="1"/>
        <v>10.887478004457796</v>
      </c>
    </row>
    <row r="92" spans="1:8" x14ac:dyDescent="0.2">
      <c r="A92" t="s">
        <v>91</v>
      </c>
      <c r="B92">
        <v>169.12</v>
      </c>
      <c r="C92">
        <v>5.09</v>
      </c>
      <c r="D92">
        <v>6.53</v>
      </c>
      <c r="E92">
        <v>1.03</v>
      </c>
      <c r="F92">
        <v>173.26499938964801</v>
      </c>
      <c r="G92">
        <v>173.26499938964801</v>
      </c>
      <c r="H92">
        <f t="shared" si="1"/>
        <v>-2.3922889240466261</v>
      </c>
    </row>
    <row r="93" spans="1:8" x14ac:dyDescent="0.2">
      <c r="A93" t="s">
        <v>92</v>
      </c>
      <c r="B93">
        <v>593.70000000000005</v>
      </c>
      <c r="C93">
        <v>27.77</v>
      </c>
      <c r="D93">
        <v>31.33</v>
      </c>
      <c r="E93">
        <v>0.55000000000000004</v>
      </c>
      <c r="F93">
        <v>490.17498779296898</v>
      </c>
      <c r="G93">
        <v>490.17498779296898</v>
      </c>
      <c r="H93">
        <f t="shared" si="1"/>
        <v>21.120011176652696</v>
      </c>
    </row>
    <row r="94" spans="1:8" x14ac:dyDescent="0.2">
      <c r="A94" t="s">
        <v>93</v>
      </c>
      <c r="B94">
        <v>260.87</v>
      </c>
      <c r="C94">
        <v>11.13</v>
      </c>
      <c r="D94">
        <v>12.58</v>
      </c>
      <c r="E94">
        <v>1.08</v>
      </c>
      <c r="F94">
        <v>242.730392456055</v>
      </c>
      <c r="G94">
        <v>242.730392456055</v>
      </c>
      <c r="H94">
        <f t="shared" si="1"/>
        <v>7.4731505026627731</v>
      </c>
    </row>
    <row r="95" spans="1:8" x14ac:dyDescent="0.2">
      <c r="A95" t="s">
        <v>94</v>
      </c>
      <c r="B95">
        <v>157.47999999999999</v>
      </c>
      <c r="C95">
        <v>8.2100000000000009</v>
      </c>
      <c r="D95">
        <v>9.6</v>
      </c>
      <c r="E95">
        <v>1.05</v>
      </c>
      <c r="F95">
        <v>147.38999938964801</v>
      </c>
      <c r="G95">
        <v>147.38999938964801</v>
      </c>
      <c r="H95">
        <f t="shared" si="1"/>
        <v>6.8457837384729991</v>
      </c>
    </row>
    <row r="96" spans="1:8" x14ac:dyDescent="0.2">
      <c r="A96" t="s">
        <v>95</v>
      </c>
      <c r="B96">
        <v>48.28</v>
      </c>
      <c r="C96">
        <v>3.9</v>
      </c>
      <c r="D96">
        <v>4.38</v>
      </c>
      <c r="E96">
        <v>1.05</v>
      </c>
      <c r="F96">
        <v>43.955001831054702</v>
      </c>
      <c r="G96">
        <v>43.955001831054702</v>
      </c>
      <c r="H96">
        <f t="shared" si="1"/>
        <v>9.8396041150648816</v>
      </c>
    </row>
    <row r="97" spans="1:8" x14ac:dyDescent="0.2">
      <c r="A97" t="s">
        <v>96</v>
      </c>
      <c r="B97">
        <v>303.54000000000002</v>
      </c>
      <c r="C97">
        <v>9.91</v>
      </c>
      <c r="D97">
        <v>11.15</v>
      </c>
      <c r="E97">
        <v>0.96</v>
      </c>
      <c r="F97">
        <v>277.24200439453102</v>
      </c>
      <c r="G97">
        <v>277.24200439453102</v>
      </c>
      <c r="H97">
        <f t="shared" si="1"/>
        <v>9.4855740431184721</v>
      </c>
    </row>
    <row r="98" spans="1:8" x14ac:dyDescent="0.2">
      <c r="A98" t="s">
        <v>97</v>
      </c>
      <c r="B98">
        <v>44.48</v>
      </c>
      <c r="C98">
        <v>4.59</v>
      </c>
      <c r="D98">
        <v>4.7</v>
      </c>
      <c r="E98">
        <v>0.38</v>
      </c>
      <c r="F98">
        <v>42.209999084472699</v>
      </c>
      <c r="G98">
        <v>42.209999084472699</v>
      </c>
      <c r="H98">
        <f t="shared" si="1"/>
        <v>5.3778748276787747</v>
      </c>
    </row>
    <row r="99" spans="1:8" x14ac:dyDescent="0.2">
      <c r="A99" t="s">
        <v>98</v>
      </c>
      <c r="B99">
        <v>25.14</v>
      </c>
      <c r="C99">
        <v>3.24</v>
      </c>
      <c r="D99">
        <v>3.4</v>
      </c>
      <c r="E99">
        <v>0.72</v>
      </c>
      <c r="F99">
        <v>19.815000534057599</v>
      </c>
      <c r="G99">
        <v>19.815000534057599</v>
      </c>
      <c r="H99">
        <f t="shared" si="1"/>
        <v>26.873577201221387</v>
      </c>
    </row>
    <row r="100" spans="1:8" x14ac:dyDescent="0.2">
      <c r="A100" t="s">
        <v>99</v>
      </c>
      <c r="B100">
        <v>58.66</v>
      </c>
      <c r="C100">
        <v>4.78</v>
      </c>
      <c r="D100">
        <v>5.37</v>
      </c>
      <c r="E100">
        <v>1.2</v>
      </c>
      <c r="F100">
        <v>57.485000610351598</v>
      </c>
      <c r="G100">
        <v>57.485000610351598</v>
      </c>
      <c r="H100">
        <f t="shared" si="1"/>
        <v>2.0440103977955149</v>
      </c>
    </row>
    <row r="101" spans="1:8" x14ac:dyDescent="0.2">
      <c r="A101" t="s">
        <v>100</v>
      </c>
      <c r="B101">
        <v>65.510000000000005</v>
      </c>
      <c r="C101">
        <v>2.35</v>
      </c>
      <c r="D101">
        <v>2.58</v>
      </c>
      <c r="E101">
        <v>0.5</v>
      </c>
      <c r="F101">
        <v>59.965000152587898</v>
      </c>
      <c r="G101">
        <v>59.965000152587898</v>
      </c>
      <c r="H101">
        <f t="shared" si="1"/>
        <v>9.2470605074663759</v>
      </c>
    </row>
    <row r="102" spans="1:8" x14ac:dyDescent="0.2">
      <c r="A102" t="s">
        <v>101</v>
      </c>
      <c r="B102">
        <v>124.98</v>
      </c>
      <c r="C102">
        <v>9.0500000000000007</v>
      </c>
      <c r="D102">
        <v>9.74</v>
      </c>
      <c r="E102">
        <v>0.95</v>
      </c>
      <c r="F102">
        <v>117.05999755859401</v>
      </c>
      <c r="G102">
        <v>117.05999755859401</v>
      </c>
      <c r="H102">
        <f t="shared" si="1"/>
        <v>6.7657633748383406</v>
      </c>
    </row>
    <row r="103" spans="1:8" x14ac:dyDescent="0.2">
      <c r="A103" t="s">
        <v>102</v>
      </c>
      <c r="B103" t="s">
        <v>103</v>
      </c>
      <c r="C103">
        <v>0</v>
      </c>
      <c r="D103">
        <v>0</v>
      </c>
      <c r="E103" t="s">
        <v>103</v>
      </c>
      <c r="H103" t="e">
        <f t="shared" si="1"/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optdata_SP100_20240401_2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JIARUI XU</dc:creator>
  <cp:lastModifiedBy>JIARUI XU</cp:lastModifiedBy>
  <dcterms:created xsi:type="dcterms:W3CDTF">2024-04-01T21:39:52Z</dcterms:created>
  <dcterms:modified xsi:type="dcterms:W3CDTF">2024-04-01T21:39:52Z</dcterms:modified>
</cp:coreProperties>
</file>