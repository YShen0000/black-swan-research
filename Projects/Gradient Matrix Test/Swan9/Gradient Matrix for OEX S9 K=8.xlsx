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lusion" sheetId="1" r:id="rId4"/>
    <sheet state="visible" name="K=8, Seed=4, Max=16%" sheetId="2" r:id="rId5"/>
  </sheets>
  <definedNames/>
  <calcPr/>
</workbook>
</file>

<file path=xl/sharedStrings.xml><?xml version="1.0" encoding="utf-8"?>
<sst xmlns="http://schemas.openxmlformats.org/spreadsheetml/2006/main" count="54" uniqueCount="46">
  <si>
    <t>Method</t>
  </si>
  <si>
    <t>MVO-DB-Holt Gradient Matrx</t>
  </si>
  <si>
    <t>Swan Period</t>
  </si>
  <si>
    <t>S4 - S8 -&gt; S9</t>
  </si>
  <si>
    <t>Author</t>
  </si>
  <si>
    <t>Shuda Yang</t>
  </si>
  <si>
    <t>Shenyuan Wu</t>
  </si>
  <si>
    <t>Zichao Xiang</t>
  </si>
  <si>
    <t>Date</t>
  </si>
  <si>
    <t>k=8</t>
  </si>
  <si>
    <t># of Preselected Stocks</t>
  </si>
  <si>
    <t>weight</t>
  </si>
  <si>
    <t>Seeds</t>
  </si>
  <si>
    <t>date</t>
  </si>
  <si>
    <t>portfolio_value</t>
  </si>
  <si>
    <t>oex</t>
  </si>
  <si>
    <t>Difference</t>
  </si>
  <si>
    <t>Percentage</t>
  </si>
  <si>
    <t>Tickers</t>
  </si>
  <si>
    <t>Weights</t>
  </si>
  <si>
    <t>Estimated Beta</t>
  </si>
  <si>
    <t>Actual Beta</t>
  </si>
  <si>
    <t>Market Drawdown if no protection</t>
  </si>
  <si>
    <t>COST</t>
  </si>
  <si>
    <t>Portfolio Drawdown</t>
  </si>
  <si>
    <t>KO</t>
  </si>
  <si>
    <t>Protection Rate</t>
  </si>
  <si>
    <t>LLY</t>
  </si>
  <si>
    <t>MRK</t>
  </si>
  <si>
    <t>NEE</t>
  </si>
  <si>
    <t>PG</t>
  </si>
  <si>
    <t>SO</t>
  </si>
  <si>
    <t>WMT</t>
  </si>
  <si>
    <t>stock</t>
  </si>
  <si>
    <t>frequency</t>
  </si>
  <si>
    <t>ABT</t>
  </si>
  <si>
    <t>CL</t>
  </si>
  <si>
    <t>EXC</t>
  </si>
  <si>
    <t>JNJ</t>
  </si>
  <si>
    <t>MDLZ</t>
  </si>
  <si>
    <t>PEP</t>
  </si>
  <si>
    <t>SBUX</t>
  </si>
  <si>
    <t>VZ</t>
  </si>
  <si>
    <t>PFE</t>
  </si>
  <si>
    <t>AMGN</t>
  </si>
  <si>
    <t>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</si>
</sst>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/m/d"/>
  </numFmts>
  <fonts count="6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&quot;Aptos Narrow&quot;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CDC"/>
        <bgColor rgb="FFFFDCDC"/>
      </patternFill>
    </fill>
    <fill>
      <patternFill patternType="solid">
        <fgColor rgb="FFFFC8C8"/>
        <bgColor rgb="FFFFC8C8"/>
      </patternFill>
    </fill>
    <fill>
      <patternFill patternType="solid">
        <fgColor rgb="FFFFB4B4"/>
        <bgColor rgb="FFFFB4B4"/>
      </patternFill>
    </fill>
    <fill>
      <patternFill patternType="solid">
        <fgColor rgb="FF70AD47"/>
        <bgColor rgb="FF70AD47"/>
      </patternFill>
    </fill>
    <fill>
      <patternFill patternType="solid">
        <fgColor rgb="FFFFA0A0"/>
        <bgColor rgb="FFFFA0A0"/>
      </patternFill>
    </fill>
    <fill>
      <patternFill patternType="solid">
        <fgColor rgb="FFFFFF00"/>
        <bgColor rgb="FFFFFF00"/>
      </patternFill>
    </fill>
    <fill>
      <patternFill patternType="solid">
        <fgColor rgb="FFFF8C8C"/>
        <bgColor rgb="FFFF8C8C"/>
      </patternFill>
    </fill>
    <fill>
      <patternFill patternType="solid">
        <fgColor rgb="FFFF7878"/>
        <bgColor rgb="FFFF7878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horizontal="right" vertical="bottom"/>
    </xf>
    <xf borderId="0" fillId="0" fontId="2" numFmtId="0" xfId="0" applyAlignment="1" applyFont="1">
      <alignment horizontal="right" readingOrder="0" shrinkToFit="0" vertical="bottom" wrapText="0"/>
    </xf>
    <xf borderId="0" fillId="3" fontId="2" numFmtId="10" xfId="0" applyAlignment="1" applyFill="1" applyFont="1" applyNumberForma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2" fontId="1" numFmtId="10" xfId="0" applyAlignment="1" applyFont="1" applyNumberFormat="1">
      <alignment vertical="bottom"/>
    </xf>
    <xf borderId="0" fillId="4" fontId="2" numFmtId="10" xfId="0" applyAlignment="1" applyFill="1" applyFont="1" applyNumberFormat="1">
      <alignment horizontal="right" readingOrder="0" shrinkToFit="0" vertical="bottom" wrapText="0"/>
    </xf>
    <xf borderId="0" fillId="5" fontId="2" numFmtId="10" xfId="0" applyAlignment="1" applyFill="1" applyFont="1" applyNumberFormat="1">
      <alignment horizontal="right" readingOrder="0" shrinkToFit="0" vertical="bottom" wrapText="0"/>
    </xf>
    <xf borderId="0" fillId="6" fontId="2" numFmtId="10" xfId="0" applyAlignment="1" applyFill="1" applyFont="1" applyNumberFormat="1">
      <alignment horizontal="right" readingOrder="0" shrinkToFit="0" vertical="bottom" wrapText="0"/>
    </xf>
    <xf borderId="0" fillId="7" fontId="2" numFmtId="10" xfId="0" applyAlignment="1" applyFill="1" applyFont="1" applyNumberFormat="1">
      <alignment horizontal="right" readingOrder="0" shrinkToFit="0" vertical="bottom" wrapText="0"/>
    </xf>
    <xf borderId="0" fillId="8" fontId="2" numFmtId="10" xfId="0" applyAlignment="1" applyFill="1" applyFont="1" applyNumberFormat="1">
      <alignment horizontal="right" readingOrder="0" shrinkToFit="0" vertical="bottom" wrapText="0"/>
    </xf>
    <xf borderId="0" fillId="9" fontId="2" numFmtId="10" xfId="0" applyAlignment="1" applyFill="1" applyFont="1" applyNumberFormat="1">
      <alignment horizontal="right" readingOrder="0" shrinkToFit="0" vertical="bottom" wrapText="0"/>
    </xf>
    <xf borderId="0" fillId="10" fontId="2" numFmtId="10" xfId="0" applyAlignment="1" applyFill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11" fontId="3" numFmtId="0" xfId="0" applyAlignment="1" applyBorder="1" applyFill="1" applyFont="1">
      <alignment horizontal="center" readingOrder="0" shrinkToFit="0" vertical="top" wrapText="0"/>
    </xf>
    <xf borderId="2" fillId="12" fontId="3" numFmtId="0" xfId="0" applyAlignment="1" applyBorder="1" applyFill="1" applyFont="1">
      <alignment horizontal="center" readingOrder="0" shrinkToFit="0" vertical="top" wrapText="0"/>
    </xf>
    <xf borderId="0" fillId="6" fontId="2" numFmtId="0" xfId="0" applyAlignment="1" applyFont="1">
      <alignment readingOrder="0" shrinkToFit="0" vertical="bottom" wrapText="0"/>
    </xf>
    <xf borderId="0" fillId="0" fontId="2" numFmtId="10" xfId="0" applyAlignment="1" applyFont="1" applyNumberFormat="1">
      <alignment horizontal="left" readingOrder="0" shrinkToFit="0" vertical="bottom" wrapText="0"/>
    </xf>
    <xf borderId="0" fillId="13" fontId="2" numFmtId="10" xfId="0" applyAlignment="1" applyFill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11" fontId="2" numFmtId="0" xfId="0" applyAlignment="1" applyFont="1">
      <alignment horizontal="right" readingOrder="0" shrinkToFit="0" vertical="bottom" wrapText="0"/>
    </xf>
    <xf borderId="0" fillId="12" fontId="2" numFmtId="0" xfId="0" applyAlignment="1" applyFont="1">
      <alignment horizontal="right" readingOrder="0" shrinkToFit="0" vertical="bottom" wrapText="0"/>
    </xf>
    <xf borderId="0" fillId="6" fontId="2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readingOrder="0" shrinkToFit="0" vertical="top" wrapText="0"/>
    </xf>
    <xf borderId="3" fillId="0" fontId="3" numFmtId="0" xfId="0" applyAlignment="1" applyBorder="1" applyFont="1">
      <alignment horizontal="center" readingOrder="0" shrinkToFit="0" vertical="top" wrapText="0"/>
    </xf>
    <xf borderId="0" fillId="13" fontId="2" numFmtId="10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8" fontId="2" numFmtId="165" xfId="0" applyAlignment="1" applyFont="1" applyNumberFormat="1">
      <alignment horizontal="right" readingOrder="0" shrinkToFit="0" vertical="bottom" wrapText="0"/>
    </xf>
    <xf borderId="0" fillId="8" fontId="2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11" fontId="5" numFmtId="0" xfId="0" applyAlignment="1" applyFont="1">
      <alignment readingOrder="0" shrinkToFit="0" vertical="bottom" wrapText="0"/>
    </xf>
    <xf borderId="0" fillId="1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K=8, Seed=4, Max=16%, PR=29.71%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'K=8, Seed=4,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'K=8, Seed=4, Max=16%'!$A$2:$A$1000</c:f>
            </c:strRef>
          </c:cat>
          <c:val>
            <c:numRef>
              <c:f>'K=8, Seed=4,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'K=8, Seed=4,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'K=8, Seed=4, Max=16%'!$A$2:$A$1000</c:f>
            </c:strRef>
          </c:cat>
          <c:val>
            <c:numRef>
              <c:f>'K=8, Seed=4,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'K=8, Seed=4,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'K=8, Seed=4, Max=16%'!$A$2:$A$1000</c:f>
            </c:strRef>
          </c:cat>
          <c:val>
            <c:numRef>
              <c:f>'K=8, Seed=4, Max=16%'!$D$2:$D$1000</c:f>
              <c:numCache/>
            </c:numRef>
          </c:val>
          <c:smooth val="0"/>
        </c:ser>
        <c:axId val="847032420"/>
        <c:axId val="1577852410"/>
      </c:lineChart>
      <c:catAx>
        <c:axId val="847032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852410"/>
      </c:catAx>
      <c:valAx>
        <c:axId val="1577852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032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 t="s">
        <v>2</v>
      </c>
      <c r="B2" s="1" t="s">
        <v>3</v>
      </c>
      <c r="C2" s="1"/>
      <c r="D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4</v>
      </c>
      <c r="B3" s="1" t="s">
        <v>5</v>
      </c>
      <c r="C3" s="1" t="s">
        <v>6</v>
      </c>
      <c r="D3" s="3" t="s">
        <v>7</v>
      </c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8</v>
      </c>
      <c r="B4" s="4">
        <v>45455.0</v>
      </c>
      <c r="C4" s="1"/>
      <c r="D4" s="1"/>
      <c r="E4" s="1"/>
      <c r="F4" s="1"/>
      <c r="G4" s="1"/>
      <c r="H4" s="1"/>
      <c r="I4" s="1"/>
      <c r="J4" s="1"/>
      <c r="K4" s="2"/>
      <c r="L4" s="5"/>
      <c r="M4" s="2"/>
      <c r="N4" s="2"/>
      <c r="O4" s="2"/>
      <c r="P4" s="5"/>
      <c r="Q4" s="2"/>
      <c r="R4" s="2"/>
      <c r="S4" s="2"/>
      <c r="T4" s="2"/>
      <c r="U4" s="2"/>
      <c r="V4" s="2"/>
      <c r="W4" s="2"/>
      <c r="X4" s="2"/>
    </row>
    <row r="5">
      <c r="A5" s="3" t="s">
        <v>9</v>
      </c>
      <c r="B5" s="1" t="s">
        <v>10</v>
      </c>
      <c r="C5" s="6">
        <v>0.1</v>
      </c>
      <c r="D5" s="6">
        <v>0.11</v>
      </c>
      <c r="E5" s="6">
        <v>0.12</v>
      </c>
      <c r="F5" s="6">
        <v>0.13</v>
      </c>
      <c r="G5" s="6">
        <v>0.14</v>
      </c>
      <c r="H5" s="6">
        <v>0.15</v>
      </c>
      <c r="I5" s="6">
        <v>0.16</v>
      </c>
      <c r="J5" s="6">
        <v>0.17</v>
      </c>
      <c r="K5" s="5" t="s">
        <v>11</v>
      </c>
      <c r="L5" s="5"/>
      <c r="M5" s="2"/>
      <c r="N5" s="2"/>
      <c r="O5" s="2"/>
      <c r="P5" s="6"/>
      <c r="Q5" s="2"/>
      <c r="R5" s="2"/>
      <c r="S5" s="2"/>
      <c r="T5" s="2"/>
      <c r="U5" s="2"/>
      <c r="V5" s="2"/>
      <c r="W5" s="2"/>
      <c r="X5" s="2"/>
    </row>
    <row r="6">
      <c r="A6" s="6">
        <v>1.0</v>
      </c>
      <c r="B6" s="7">
        <v>15.0</v>
      </c>
      <c r="C6" s="8">
        <v>0.21398</v>
      </c>
      <c r="D6" s="8">
        <v>0.192144</v>
      </c>
      <c r="E6" s="8">
        <v>0.165909303</v>
      </c>
      <c r="F6" s="8">
        <v>0.154442987</v>
      </c>
      <c r="G6" s="8">
        <v>0.157976</v>
      </c>
      <c r="H6" s="8">
        <v>0.164977983</v>
      </c>
      <c r="I6" s="8">
        <v>0.177090184</v>
      </c>
      <c r="J6" s="8">
        <v>0.188172399</v>
      </c>
      <c r="K6" s="5"/>
      <c r="L6" s="9"/>
      <c r="M6" s="10"/>
      <c r="N6" s="10"/>
      <c r="O6" s="10"/>
      <c r="P6" s="10"/>
      <c r="Q6" s="2"/>
      <c r="R6" s="2"/>
      <c r="S6" s="2"/>
      <c r="T6" s="2"/>
      <c r="U6" s="2"/>
      <c r="V6" s="2"/>
      <c r="W6" s="2"/>
      <c r="X6" s="2"/>
    </row>
    <row r="7">
      <c r="A7" s="6">
        <v>2.0</v>
      </c>
      <c r="B7" s="7">
        <v>16.0</v>
      </c>
      <c r="C7" s="11">
        <v>0.211283</v>
      </c>
      <c r="D7" s="11">
        <v>0.190609</v>
      </c>
      <c r="E7" s="11">
        <v>0.165150693</v>
      </c>
      <c r="F7" s="11">
        <v>0.153733212</v>
      </c>
      <c r="G7" s="11">
        <v>0.157132651</v>
      </c>
      <c r="H7" s="11">
        <v>0.165817598</v>
      </c>
      <c r="I7" s="11">
        <v>0.178373719</v>
      </c>
      <c r="J7" s="11">
        <v>0.189944938</v>
      </c>
      <c r="K7" s="5"/>
      <c r="L7" s="9"/>
      <c r="M7" s="10"/>
      <c r="N7" s="10"/>
      <c r="O7" s="10"/>
      <c r="P7" s="10"/>
      <c r="Q7" s="2"/>
      <c r="R7" s="2"/>
      <c r="S7" s="2"/>
      <c r="T7" s="2"/>
      <c r="U7" s="2"/>
      <c r="V7" s="2"/>
      <c r="W7" s="2"/>
      <c r="X7" s="2"/>
    </row>
    <row r="8">
      <c r="A8" s="6">
        <v>3.0</v>
      </c>
      <c r="B8" s="7">
        <v>16.0</v>
      </c>
      <c r="C8" s="11">
        <v>0.211283</v>
      </c>
      <c r="D8" s="11">
        <v>0.190609</v>
      </c>
      <c r="E8" s="11">
        <v>0.165150693</v>
      </c>
      <c r="F8" s="11">
        <v>0.153733212</v>
      </c>
      <c r="G8" s="11">
        <v>0.157132651</v>
      </c>
      <c r="H8" s="11">
        <v>0.165817598</v>
      </c>
      <c r="I8" s="11">
        <v>0.178373719</v>
      </c>
      <c r="J8" s="11">
        <v>0.189944938</v>
      </c>
      <c r="L8" s="9"/>
      <c r="M8" s="10"/>
      <c r="N8" s="10"/>
      <c r="O8" s="10"/>
      <c r="P8" s="10"/>
      <c r="Q8" s="2"/>
      <c r="R8" s="2"/>
      <c r="S8" s="2"/>
      <c r="T8" s="2"/>
      <c r="U8" s="2"/>
      <c r="V8" s="2"/>
      <c r="W8" s="2"/>
      <c r="X8" s="2"/>
    </row>
    <row r="9">
      <c r="A9" s="6">
        <v>4.0</v>
      </c>
      <c r="B9" s="7">
        <v>19.0</v>
      </c>
      <c r="C9" s="12">
        <v>0.230596</v>
      </c>
      <c r="D9" s="12">
        <v>0.226798</v>
      </c>
      <c r="E9" s="12">
        <v>0.222862797</v>
      </c>
      <c r="F9" s="12">
        <v>0.231498048</v>
      </c>
      <c r="G9" s="12">
        <v>0.24600287</v>
      </c>
      <c r="H9" s="12">
        <v>0.265701678</v>
      </c>
      <c r="I9" s="13">
        <v>0.297056579</v>
      </c>
      <c r="J9" s="12">
        <v>0.294967</v>
      </c>
      <c r="K9" s="5"/>
      <c r="L9" s="9"/>
      <c r="M9" s="10"/>
      <c r="N9" s="10"/>
      <c r="O9" s="10"/>
      <c r="P9" s="10"/>
      <c r="Q9" s="2"/>
      <c r="R9" s="2"/>
      <c r="S9" s="2"/>
      <c r="T9" s="2"/>
      <c r="U9" s="2"/>
      <c r="V9" s="2"/>
      <c r="W9" s="2"/>
      <c r="X9" s="2"/>
    </row>
    <row r="10">
      <c r="A10" s="6">
        <v>5.0</v>
      </c>
      <c r="B10" s="7">
        <v>19.0</v>
      </c>
      <c r="C10" s="12">
        <v>0.230596</v>
      </c>
      <c r="D10" s="12">
        <v>0.226798</v>
      </c>
      <c r="E10" s="12">
        <v>0.222862797</v>
      </c>
      <c r="F10" s="12">
        <v>0.231498048</v>
      </c>
      <c r="G10" s="12">
        <v>0.24600287</v>
      </c>
      <c r="H10" s="12">
        <v>0.265701678</v>
      </c>
      <c r="I10" s="13">
        <v>0.297056579</v>
      </c>
      <c r="J10" s="12">
        <v>0.294967</v>
      </c>
      <c r="K10" s="5"/>
      <c r="L10" s="9"/>
      <c r="M10" s="10"/>
      <c r="N10" s="10"/>
      <c r="O10" s="10"/>
      <c r="P10" s="10"/>
      <c r="Q10" s="2"/>
      <c r="R10" s="2"/>
      <c r="S10" s="2"/>
      <c r="T10" s="2"/>
      <c r="U10" s="2"/>
      <c r="V10" s="2"/>
      <c r="W10" s="2"/>
      <c r="X10" s="2"/>
    </row>
    <row r="11">
      <c r="A11" s="6">
        <v>6.0</v>
      </c>
      <c r="B11" s="7">
        <v>19.0</v>
      </c>
      <c r="C11" s="12">
        <v>0.230595</v>
      </c>
      <c r="D11" s="12">
        <v>0.226798</v>
      </c>
      <c r="E11" s="12">
        <v>0.222862797</v>
      </c>
      <c r="F11" s="12">
        <v>0.231498048</v>
      </c>
      <c r="G11" s="12">
        <v>0.24600287</v>
      </c>
      <c r="H11" s="12">
        <v>0.265701678</v>
      </c>
      <c r="I11" s="13">
        <v>0.297056579</v>
      </c>
      <c r="J11" s="12">
        <v>0.294967</v>
      </c>
      <c r="K11" s="5"/>
      <c r="L11" s="2"/>
      <c r="M11" s="10"/>
      <c r="N11" s="10"/>
      <c r="O11" s="10"/>
      <c r="P11" s="10"/>
      <c r="Q11" s="2"/>
      <c r="R11" s="2"/>
      <c r="S11" s="2"/>
      <c r="T11" s="2"/>
      <c r="U11" s="2"/>
      <c r="V11" s="2"/>
      <c r="W11" s="2"/>
      <c r="X11" s="2"/>
    </row>
    <row r="12">
      <c r="A12" s="6">
        <v>7.0</v>
      </c>
      <c r="B12" s="7">
        <v>19.0</v>
      </c>
      <c r="C12" s="12">
        <v>0.230595</v>
      </c>
      <c r="D12" s="12">
        <v>0.226798</v>
      </c>
      <c r="E12" s="12">
        <v>0.222862797</v>
      </c>
      <c r="F12" s="12">
        <v>0.231498048</v>
      </c>
      <c r="G12" s="12">
        <v>0.24600287</v>
      </c>
      <c r="H12" s="12">
        <v>0.265701678</v>
      </c>
      <c r="I12" s="13">
        <v>0.297056579</v>
      </c>
      <c r="J12" s="12">
        <v>0.294967</v>
      </c>
      <c r="M12" s="10"/>
      <c r="N12" s="10"/>
      <c r="O12" s="10"/>
      <c r="P12" s="10"/>
      <c r="Q12" s="2"/>
      <c r="R12" s="2"/>
      <c r="S12" s="2"/>
      <c r="T12" s="2"/>
      <c r="U12" s="2"/>
      <c r="V12" s="2"/>
      <c r="W12" s="2"/>
      <c r="X12" s="2"/>
    </row>
    <row r="13">
      <c r="A13" s="6">
        <v>8.0</v>
      </c>
      <c r="B13" s="7">
        <v>19.0</v>
      </c>
      <c r="C13" s="12">
        <v>0.230595</v>
      </c>
      <c r="D13" s="12">
        <v>0.22679791</v>
      </c>
      <c r="E13" s="12">
        <v>0.222862797</v>
      </c>
      <c r="F13" s="12">
        <v>0.231498048</v>
      </c>
      <c r="G13" s="12">
        <v>0.24600287</v>
      </c>
      <c r="H13" s="12">
        <v>0.265701678</v>
      </c>
      <c r="I13" s="13">
        <v>0.297056579</v>
      </c>
      <c r="J13" s="12">
        <v>0.294966823</v>
      </c>
      <c r="M13" s="10"/>
      <c r="N13" s="10"/>
      <c r="O13" s="10"/>
      <c r="P13" s="10"/>
      <c r="Q13" s="2"/>
      <c r="R13" s="2"/>
      <c r="S13" s="2"/>
      <c r="T13" s="2"/>
      <c r="U13" s="2"/>
      <c r="V13" s="2"/>
      <c r="W13" s="2"/>
      <c r="X13" s="2"/>
    </row>
    <row r="14">
      <c r="A14" s="6">
        <v>9.0</v>
      </c>
      <c r="B14" s="7">
        <v>22.0</v>
      </c>
      <c r="C14" s="14">
        <v>0.217577</v>
      </c>
      <c r="D14" s="14">
        <v>0.207225259</v>
      </c>
      <c r="E14" s="14">
        <v>0.200240936</v>
      </c>
      <c r="F14" s="14">
        <v>0.22029567</v>
      </c>
      <c r="G14" s="14">
        <v>0.231679885</v>
      </c>
      <c r="H14" s="14">
        <v>0.241963851</v>
      </c>
      <c r="I14" s="14">
        <v>0.251637406</v>
      </c>
      <c r="J14" s="14">
        <v>0.271805914</v>
      </c>
      <c r="K14" s="2"/>
      <c r="L14" s="2"/>
      <c r="M14" s="10"/>
      <c r="N14" s="10"/>
      <c r="O14" s="10"/>
      <c r="P14" s="10"/>
      <c r="Q14" s="2"/>
      <c r="R14" s="2"/>
      <c r="S14" s="2"/>
      <c r="T14" s="2"/>
      <c r="U14" s="2"/>
      <c r="V14" s="2"/>
      <c r="W14" s="2"/>
      <c r="X14" s="2"/>
    </row>
    <row r="15">
      <c r="A15" s="6">
        <v>10.0</v>
      </c>
      <c r="B15" s="7">
        <v>22.0</v>
      </c>
      <c r="C15" s="14">
        <v>0.217577</v>
      </c>
      <c r="D15" s="14">
        <v>0.207225259</v>
      </c>
      <c r="E15" s="14">
        <v>0.200240936</v>
      </c>
      <c r="F15" s="14">
        <v>0.22029567</v>
      </c>
      <c r="G15" s="14">
        <v>0.231679885</v>
      </c>
      <c r="H15" s="14">
        <v>0.241963851</v>
      </c>
      <c r="I15" s="14">
        <v>0.251637406</v>
      </c>
      <c r="J15" s="14">
        <v>0.271805914</v>
      </c>
      <c r="K15" s="2"/>
      <c r="L15" s="2"/>
      <c r="M15" s="10"/>
      <c r="N15" s="10"/>
      <c r="O15" s="10"/>
      <c r="P15" s="10"/>
      <c r="Q15" s="2"/>
      <c r="R15" s="2"/>
      <c r="S15" s="2"/>
      <c r="T15" s="2"/>
      <c r="U15" s="2"/>
      <c r="V15" s="2"/>
      <c r="W15" s="2"/>
      <c r="X15" s="2"/>
    </row>
    <row r="16">
      <c r="A16" s="6">
        <v>11.0</v>
      </c>
      <c r="B16" s="7">
        <v>22.0</v>
      </c>
      <c r="C16" s="14">
        <v>0.217577</v>
      </c>
      <c r="D16" s="14">
        <v>0.207225259</v>
      </c>
      <c r="E16" s="14">
        <v>0.200240936</v>
      </c>
      <c r="F16" s="14">
        <v>0.220296</v>
      </c>
      <c r="G16" s="14">
        <v>0.231679885</v>
      </c>
      <c r="H16" s="14">
        <v>0.241963851</v>
      </c>
      <c r="I16" s="14">
        <v>0.251637406</v>
      </c>
      <c r="J16" s="14">
        <v>0.271805914</v>
      </c>
      <c r="K16" s="10"/>
      <c r="L16" s="10"/>
      <c r="M16" s="10"/>
      <c r="N16" s="10"/>
      <c r="O16" s="10"/>
      <c r="P16" s="10"/>
      <c r="Q16" s="2"/>
      <c r="R16" s="2"/>
      <c r="S16" s="2"/>
      <c r="T16" s="2"/>
      <c r="U16" s="2"/>
      <c r="V16" s="2"/>
      <c r="W16" s="2"/>
      <c r="X16" s="2"/>
    </row>
    <row r="17">
      <c r="A17" s="6">
        <v>12.0</v>
      </c>
      <c r="B17" s="7">
        <v>23.0</v>
      </c>
      <c r="C17" s="15">
        <v>0.169765</v>
      </c>
      <c r="D17" s="15">
        <v>0.150740612</v>
      </c>
      <c r="E17" s="15">
        <v>0.150659457</v>
      </c>
      <c r="F17" s="15">
        <v>0.156456341</v>
      </c>
      <c r="G17" s="15">
        <v>0.162345324</v>
      </c>
      <c r="H17" s="15">
        <v>0.179309584</v>
      </c>
      <c r="I17" s="15">
        <v>0.175288203</v>
      </c>
      <c r="J17" s="15">
        <v>0.168007573</v>
      </c>
      <c r="K17" s="10"/>
      <c r="L17" s="10"/>
      <c r="M17" s="10"/>
      <c r="N17" s="10"/>
      <c r="O17" s="10"/>
      <c r="P17" s="10"/>
      <c r="Q17" s="2"/>
      <c r="R17" s="2"/>
      <c r="S17" s="2"/>
      <c r="T17" s="2"/>
      <c r="U17" s="2"/>
      <c r="V17" s="2"/>
      <c r="W17" s="2"/>
      <c r="X17" s="2"/>
    </row>
    <row r="18">
      <c r="A18" s="6">
        <v>13.0</v>
      </c>
      <c r="B18" s="7">
        <v>24.0</v>
      </c>
      <c r="C18" s="16">
        <v>0.200489</v>
      </c>
      <c r="D18" s="16">
        <v>0.200015938</v>
      </c>
      <c r="E18" s="16">
        <v>0.186236419</v>
      </c>
      <c r="F18" s="16">
        <v>0.178809463</v>
      </c>
      <c r="G18" s="16">
        <v>0.154821929</v>
      </c>
      <c r="H18" s="16">
        <v>0.166624207</v>
      </c>
      <c r="I18" s="16">
        <v>0.15950081</v>
      </c>
      <c r="J18" s="16">
        <v>0.188770256</v>
      </c>
      <c r="K18" s="10"/>
      <c r="L18" s="10"/>
      <c r="M18" s="10"/>
      <c r="N18" s="10"/>
      <c r="O18" s="10"/>
      <c r="P18" s="10"/>
      <c r="Q18" s="2"/>
      <c r="R18" s="2"/>
      <c r="S18" s="2"/>
      <c r="T18" s="2"/>
      <c r="U18" s="2"/>
      <c r="V18" s="2"/>
      <c r="W18" s="2"/>
      <c r="X18" s="2"/>
    </row>
    <row r="19">
      <c r="A19" s="6">
        <v>14.0</v>
      </c>
      <c r="B19" s="7">
        <v>24.0</v>
      </c>
      <c r="C19" s="16">
        <v>0.200489</v>
      </c>
      <c r="D19" s="16">
        <v>0.200015938</v>
      </c>
      <c r="E19" s="16">
        <v>0.186236419</v>
      </c>
      <c r="F19" s="16">
        <v>0.178809463</v>
      </c>
      <c r="G19" s="16">
        <v>0.154821929</v>
      </c>
      <c r="H19" s="16">
        <v>0.166624207</v>
      </c>
      <c r="I19" s="16">
        <v>0.15950081</v>
      </c>
      <c r="J19" s="16">
        <v>0.188770256</v>
      </c>
      <c r="K19" s="10"/>
      <c r="L19" s="10"/>
      <c r="M19" s="10"/>
      <c r="N19" s="10"/>
      <c r="O19" s="10"/>
      <c r="P19" s="10"/>
      <c r="Q19" s="2"/>
      <c r="R19" s="2"/>
      <c r="S19" s="2"/>
      <c r="T19" s="2"/>
      <c r="U19" s="2"/>
      <c r="V19" s="2"/>
      <c r="W19" s="2"/>
      <c r="X19" s="2"/>
    </row>
    <row r="20">
      <c r="A20" s="6">
        <v>15.0</v>
      </c>
      <c r="B20" s="7">
        <v>24.0</v>
      </c>
      <c r="C20" s="16">
        <v>0.200489</v>
      </c>
      <c r="D20" s="16">
        <v>0.200015938</v>
      </c>
      <c r="E20" s="16">
        <v>0.186236419</v>
      </c>
      <c r="F20" s="16">
        <v>0.178809463</v>
      </c>
      <c r="G20" s="16">
        <v>0.154821929</v>
      </c>
      <c r="H20" s="16">
        <v>0.166624207</v>
      </c>
      <c r="I20" s="16">
        <v>0.15950081</v>
      </c>
      <c r="J20" s="16">
        <v>0.188770256</v>
      </c>
      <c r="K20" s="10"/>
      <c r="L20" s="10"/>
      <c r="M20" s="10"/>
      <c r="N20" s="10"/>
      <c r="O20" s="10"/>
      <c r="P20" s="10"/>
      <c r="Q20" s="2"/>
      <c r="R20" s="2"/>
      <c r="S20" s="2"/>
      <c r="T20" s="2"/>
      <c r="U20" s="2"/>
      <c r="V20" s="2"/>
      <c r="W20" s="2"/>
      <c r="X20" s="2"/>
    </row>
    <row r="21">
      <c r="A21" s="6">
        <v>16.0</v>
      </c>
      <c r="B21" s="7">
        <v>24.0</v>
      </c>
      <c r="C21" s="16">
        <v>0.200489</v>
      </c>
      <c r="D21" s="16">
        <v>0.200015938</v>
      </c>
      <c r="E21" s="16">
        <v>0.186236419</v>
      </c>
      <c r="F21" s="16">
        <v>0.178809463</v>
      </c>
      <c r="G21" s="16">
        <v>0.154821929</v>
      </c>
      <c r="H21" s="16">
        <v>0.166624207</v>
      </c>
      <c r="I21" s="16">
        <v>0.15950081</v>
      </c>
      <c r="J21" s="16">
        <v>0.188770256</v>
      </c>
      <c r="K21" s="10"/>
      <c r="L21" s="10"/>
      <c r="M21" s="10"/>
      <c r="N21" s="10"/>
      <c r="O21" s="10"/>
      <c r="P21" s="10"/>
      <c r="Q21" s="2"/>
      <c r="R21" s="2"/>
      <c r="S21" s="2"/>
      <c r="T21" s="2"/>
      <c r="U21" s="2"/>
      <c r="V21" s="2"/>
      <c r="W21" s="2"/>
      <c r="X21" s="2"/>
    </row>
    <row r="22">
      <c r="A22" s="6">
        <v>17.0</v>
      </c>
      <c r="B22" s="7">
        <v>24.0</v>
      </c>
      <c r="C22" s="16">
        <v>0.200489</v>
      </c>
      <c r="D22" s="16">
        <v>0.200015938</v>
      </c>
      <c r="E22" s="16">
        <v>0.186236419</v>
      </c>
      <c r="F22" s="16">
        <v>0.178809463</v>
      </c>
      <c r="G22" s="16">
        <v>0.154821929</v>
      </c>
      <c r="H22" s="16">
        <v>0.166624207</v>
      </c>
      <c r="I22" s="16">
        <v>0.15950081</v>
      </c>
      <c r="J22" s="16">
        <v>0.188770256</v>
      </c>
      <c r="K22" s="10"/>
      <c r="L22" s="10"/>
      <c r="M22" s="10"/>
      <c r="N22" s="10"/>
      <c r="O22" s="10"/>
      <c r="P22" s="10"/>
      <c r="Q22" s="2"/>
      <c r="R22" s="2"/>
      <c r="S22" s="2"/>
      <c r="T22" s="2"/>
      <c r="U22" s="2"/>
      <c r="V22" s="2"/>
      <c r="W22" s="2"/>
      <c r="X22" s="2"/>
    </row>
    <row r="23">
      <c r="A23" s="6">
        <v>18.0</v>
      </c>
      <c r="B23" s="7">
        <v>24.0</v>
      </c>
      <c r="C23" s="16">
        <v>0.200489</v>
      </c>
      <c r="D23" s="16">
        <v>0.200015938</v>
      </c>
      <c r="E23" s="16">
        <v>0.186236419</v>
      </c>
      <c r="F23" s="16">
        <v>0.178809463</v>
      </c>
      <c r="G23" s="16">
        <v>0.154821929</v>
      </c>
      <c r="H23" s="16">
        <v>0.166624207</v>
      </c>
      <c r="I23" s="16">
        <v>0.15950081</v>
      </c>
      <c r="J23" s="16">
        <v>0.188770256</v>
      </c>
      <c r="K23" s="10"/>
      <c r="L23" s="10"/>
      <c r="M23" s="10"/>
      <c r="N23" s="10"/>
      <c r="O23" s="10"/>
      <c r="P23" s="10"/>
      <c r="Q23" s="2"/>
      <c r="R23" s="2"/>
      <c r="S23" s="2"/>
      <c r="T23" s="2"/>
      <c r="U23" s="2"/>
      <c r="V23" s="2"/>
      <c r="W23" s="2"/>
      <c r="X23" s="2"/>
    </row>
    <row r="24">
      <c r="A24" s="6">
        <v>19.0</v>
      </c>
      <c r="B24" s="7">
        <v>24.0</v>
      </c>
      <c r="C24" s="16">
        <v>0.200489</v>
      </c>
      <c r="D24" s="16">
        <v>0.200015938</v>
      </c>
      <c r="E24" s="16">
        <v>0.186236419</v>
      </c>
      <c r="F24" s="16">
        <v>0.178809463</v>
      </c>
      <c r="G24" s="16">
        <v>0.154821929</v>
      </c>
      <c r="H24" s="16">
        <v>0.166624207</v>
      </c>
      <c r="I24" s="16">
        <v>0.15950081</v>
      </c>
      <c r="J24" s="16">
        <v>0.188770256</v>
      </c>
      <c r="K24" s="10"/>
      <c r="L24" s="10"/>
      <c r="M24" s="10"/>
      <c r="N24" s="10"/>
      <c r="O24" s="10"/>
      <c r="P24" s="10"/>
      <c r="Q24" s="2"/>
      <c r="R24" s="2"/>
      <c r="S24" s="2"/>
      <c r="T24" s="2"/>
      <c r="U24" s="2"/>
      <c r="V24" s="2"/>
      <c r="W24" s="2"/>
      <c r="X24" s="2"/>
    </row>
    <row r="25">
      <c r="A25" s="6">
        <v>20.0</v>
      </c>
      <c r="B25" s="7">
        <v>24.0</v>
      </c>
      <c r="C25" s="16">
        <v>0.200489</v>
      </c>
      <c r="D25" s="16">
        <v>0.200015938</v>
      </c>
      <c r="E25" s="16">
        <v>0.186236419</v>
      </c>
      <c r="F25" s="16">
        <v>0.178809463</v>
      </c>
      <c r="G25" s="16">
        <v>0.154821929</v>
      </c>
      <c r="H25" s="16">
        <v>0.166624207</v>
      </c>
      <c r="I25" s="16">
        <v>0.15950081</v>
      </c>
      <c r="J25" s="16">
        <v>0.188770256</v>
      </c>
      <c r="K25" s="10"/>
      <c r="L25" s="10"/>
      <c r="M25" s="10"/>
      <c r="N25" s="10"/>
      <c r="O25" s="10"/>
      <c r="P25" s="10"/>
      <c r="Q25" s="2"/>
      <c r="R25" s="2"/>
      <c r="S25" s="2"/>
      <c r="T25" s="2"/>
      <c r="U25" s="2"/>
      <c r="V25" s="2"/>
      <c r="W25" s="2"/>
      <c r="X25" s="2"/>
    </row>
    <row r="26">
      <c r="A26" s="6">
        <v>21.0</v>
      </c>
      <c r="B26" s="7">
        <v>24.0</v>
      </c>
      <c r="C26" s="16">
        <v>0.200489</v>
      </c>
      <c r="D26" s="16">
        <v>0.200015938</v>
      </c>
      <c r="E26" s="16">
        <v>0.186236419</v>
      </c>
      <c r="F26" s="16">
        <v>0.178809463</v>
      </c>
      <c r="G26" s="16">
        <v>0.154821929</v>
      </c>
      <c r="H26" s="16">
        <v>0.166624207</v>
      </c>
      <c r="I26" s="16">
        <v>0.15950081</v>
      </c>
      <c r="J26" s="16">
        <v>0.188770256</v>
      </c>
      <c r="K26" s="10"/>
      <c r="L26" s="10"/>
      <c r="M26" s="10"/>
      <c r="N26" s="10"/>
      <c r="O26" s="10"/>
      <c r="P26" s="10"/>
      <c r="Q26" s="2"/>
      <c r="R26" s="2"/>
      <c r="S26" s="2"/>
      <c r="T26" s="2"/>
      <c r="U26" s="2"/>
      <c r="V26" s="2"/>
      <c r="W26" s="2"/>
      <c r="X26" s="2"/>
    </row>
    <row r="27">
      <c r="A27" s="6">
        <v>22.0</v>
      </c>
      <c r="B27" s="7">
        <v>24.0</v>
      </c>
      <c r="C27" s="16">
        <v>0.200489</v>
      </c>
      <c r="D27" s="16">
        <v>0.200015938</v>
      </c>
      <c r="E27" s="16">
        <v>0.186236419</v>
      </c>
      <c r="F27" s="16">
        <v>0.178809463</v>
      </c>
      <c r="G27" s="16">
        <v>0.154821929</v>
      </c>
      <c r="H27" s="16">
        <v>0.166624207</v>
      </c>
      <c r="I27" s="16">
        <v>0.15950081</v>
      </c>
      <c r="J27" s="16">
        <v>0.188770256</v>
      </c>
      <c r="K27" s="2"/>
      <c r="L27" s="2"/>
      <c r="M27" s="10"/>
      <c r="N27" s="10"/>
      <c r="O27" s="10"/>
      <c r="P27" s="10"/>
      <c r="Q27" s="2"/>
      <c r="R27" s="2"/>
      <c r="S27" s="2"/>
      <c r="T27" s="2"/>
      <c r="U27" s="2"/>
      <c r="V27" s="2"/>
      <c r="W27" s="2"/>
      <c r="X27" s="2"/>
    </row>
    <row r="28">
      <c r="A28" s="6">
        <v>23.0</v>
      </c>
      <c r="B28" s="7">
        <v>24.0</v>
      </c>
      <c r="C28" s="16">
        <v>0.200489</v>
      </c>
      <c r="D28" s="16">
        <v>0.200015938</v>
      </c>
      <c r="E28" s="16">
        <v>0.186236419</v>
      </c>
      <c r="F28" s="16">
        <v>0.178809463</v>
      </c>
      <c r="G28" s="16">
        <v>0.154821929</v>
      </c>
      <c r="H28" s="16">
        <v>0.166624207</v>
      </c>
      <c r="I28" s="16">
        <v>0.15950081</v>
      </c>
      <c r="J28" s="16">
        <v>0.188770256</v>
      </c>
      <c r="K28" s="2"/>
      <c r="L28" s="2"/>
      <c r="M28" s="10"/>
      <c r="N28" s="10"/>
      <c r="O28" s="10"/>
      <c r="P28" s="10"/>
      <c r="Q28" s="2"/>
      <c r="R28" s="2"/>
      <c r="S28" s="2"/>
      <c r="T28" s="2"/>
      <c r="U28" s="2"/>
      <c r="V28" s="2"/>
      <c r="W28" s="2"/>
      <c r="X28" s="2"/>
    </row>
    <row r="29">
      <c r="A29" s="6">
        <v>24.0</v>
      </c>
      <c r="B29" s="7">
        <v>24.0</v>
      </c>
      <c r="C29" s="16">
        <v>0.200489</v>
      </c>
      <c r="D29" s="16">
        <v>0.200015938</v>
      </c>
      <c r="E29" s="16">
        <v>0.186236419</v>
      </c>
      <c r="F29" s="16">
        <v>0.178809463</v>
      </c>
      <c r="G29" s="16">
        <v>0.154821929</v>
      </c>
      <c r="H29" s="16">
        <v>0.166624207</v>
      </c>
      <c r="I29" s="16">
        <v>0.15950081</v>
      </c>
      <c r="J29" s="16">
        <v>0.188770256</v>
      </c>
      <c r="K29" s="2"/>
      <c r="L29" s="2"/>
      <c r="M29" s="10"/>
      <c r="N29" s="10"/>
      <c r="O29" s="10"/>
      <c r="P29" s="10"/>
      <c r="Q29" s="2"/>
      <c r="R29" s="2"/>
      <c r="S29" s="2"/>
      <c r="T29" s="2"/>
      <c r="U29" s="2"/>
      <c r="V29" s="2"/>
      <c r="W29" s="2"/>
      <c r="X29" s="2"/>
    </row>
    <row r="30">
      <c r="A30" s="6">
        <v>25.0</v>
      </c>
      <c r="B30" s="7">
        <v>24.0</v>
      </c>
      <c r="C30" s="16">
        <v>0.200489</v>
      </c>
      <c r="D30" s="16">
        <v>0.200015938</v>
      </c>
      <c r="E30" s="16">
        <v>0.186236419</v>
      </c>
      <c r="F30" s="16">
        <v>0.178809463</v>
      </c>
      <c r="G30" s="16">
        <v>0.154821929</v>
      </c>
      <c r="H30" s="16">
        <v>0.166624207</v>
      </c>
      <c r="I30" s="16">
        <v>0.15950081</v>
      </c>
      <c r="J30" s="16">
        <v>0.188770256</v>
      </c>
      <c r="K30" s="2"/>
      <c r="L30" s="2"/>
      <c r="M30" s="10"/>
      <c r="N30" s="10"/>
      <c r="O30" s="10"/>
      <c r="P30" s="10"/>
      <c r="Q30" s="2"/>
      <c r="R30" s="2"/>
      <c r="S30" s="2"/>
      <c r="T30" s="2"/>
      <c r="U30" s="2"/>
      <c r="V30" s="2"/>
      <c r="W30" s="2"/>
      <c r="X30" s="2"/>
    </row>
    <row r="31">
      <c r="A31" s="6">
        <v>26.0</v>
      </c>
      <c r="B31" s="7">
        <v>24.0</v>
      </c>
      <c r="C31" s="16">
        <v>0.200489</v>
      </c>
      <c r="D31" s="16">
        <v>0.200015938</v>
      </c>
      <c r="E31" s="16">
        <v>0.186236419</v>
      </c>
      <c r="F31" s="16">
        <v>0.178809463</v>
      </c>
      <c r="G31" s="16">
        <v>0.154821929</v>
      </c>
      <c r="H31" s="16">
        <v>0.166624207</v>
      </c>
      <c r="I31" s="16">
        <v>0.15950081</v>
      </c>
      <c r="J31" s="16">
        <v>0.188770256</v>
      </c>
      <c r="K31" s="2"/>
      <c r="L31" s="2"/>
      <c r="M31" s="10"/>
      <c r="N31" s="10"/>
      <c r="O31" s="10"/>
      <c r="P31" s="10"/>
      <c r="Q31" s="2"/>
      <c r="R31" s="2"/>
      <c r="S31" s="2"/>
      <c r="T31" s="2"/>
      <c r="U31" s="2"/>
      <c r="V31" s="2"/>
      <c r="W31" s="2"/>
      <c r="X31" s="2"/>
    </row>
    <row r="32">
      <c r="A32" s="6">
        <v>27.0</v>
      </c>
      <c r="B32" s="7">
        <v>24.0</v>
      </c>
      <c r="C32" s="16">
        <v>0.200489</v>
      </c>
      <c r="D32" s="16">
        <v>0.200015938</v>
      </c>
      <c r="E32" s="16">
        <v>0.186236419</v>
      </c>
      <c r="F32" s="16">
        <v>0.178809463</v>
      </c>
      <c r="G32" s="16">
        <v>0.154821929</v>
      </c>
      <c r="H32" s="16">
        <v>0.166624207</v>
      </c>
      <c r="I32" s="16">
        <v>0.15950081</v>
      </c>
      <c r="J32" s="16">
        <v>0.188770256</v>
      </c>
      <c r="K32" s="2"/>
      <c r="L32" s="2"/>
      <c r="M32" s="10"/>
      <c r="N32" s="10"/>
      <c r="O32" s="10"/>
      <c r="P32" s="10"/>
      <c r="Q32" s="2"/>
      <c r="R32" s="2"/>
      <c r="S32" s="2"/>
      <c r="T32" s="2"/>
      <c r="U32" s="2"/>
      <c r="V32" s="2"/>
      <c r="W32" s="2"/>
      <c r="X32" s="2"/>
    </row>
    <row r="33">
      <c r="A33" s="6">
        <v>28.0</v>
      </c>
      <c r="B33" s="7">
        <v>24.0</v>
      </c>
      <c r="C33" s="16">
        <v>0.200489</v>
      </c>
      <c r="D33" s="16">
        <v>0.200015938</v>
      </c>
      <c r="E33" s="16">
        <v>0.186236419</v>
      </c>
      <c r="F33" s="16">
        <v>0.178809463</v>
      </c>
      <c r="G33" s="16">
        <v>0.154821929</v>
      </c>
      <c r="H33" s="16">
        <v>0.166624207</v>
      </c>
      <c r="I33" s="16">
        <v>0.15950081</v>
      </c>
      <c r="J33" s="16">
        <v>0.188770256</v>
      </c>
      <c r="K33" s="2"/>
      <c r="L33" s="2"/>
      <c r="M33" s="10"/>
      <c r="N33" s="10"/>
      <c r="O33" s="10"/>
      <c r="P33" s="10"/>
      <c r="Q33" s="2"/>
      <c r="R33" s="2"/>
      <c r="S33" s="2"/>
      <c r="T33" s="2"/>
      <c r="U33" s="2"/>
      <c r="V33" s="2"/>
      <c r="W33" s="2"/>
      <c r="X33" s="2"/>
    </row>
    <row r="34">
      <c r="A34" s="6">
        <v>29.0</v>
      </c>
      <c r="B34" s="7">
        <v>24.0</v>
      </c>
      <c r="C34" s="16">
        <v>0.200489</v>
      </c>
      <c r="D34" s="16">
        <v>0.200015938</v>
      </c>
      <c r="E34" s="16">
        <v>0.186236419</v>
      </c>
      <c r="F34" s="16">
        <v>0.178809463</v>
      </c>
      <c r="G34" s="16">
        <v>0.154821929</v>
      </c>
      <c r="H34" s="16">
        <v>0.166624207</v>
      </c>
      <c r="I34" s="16">
        <v>0.15950081</v>
      </c>
      <c r="J34" s="16">
        <v>0.188770256</v>
      </c>
      <c r="K34" s="2"/>
      <c r="L34" s="2"/>
      <c r="M34" s="10"/>
      <c r="N34" s="10"/>
      <c r="O34" s="10"/>
      <c r="P34" s="10"/>
      <c r="Q34" s="2"/>
      <c r="R34" s="2"/>
      <c r="S34" s="2"/>
      <c r="T34" s="2"/>
      <c r="U34" s="2"/>
      <c r="V34" s="2"/>
      <c r="W34" s="2"/>
      <c r="X34" s="2"/>
    </row>
    <row r="35">
      <c r="A35" s="6">
        <v>30.0</v>
      </c>
      <c r="B35" s="7">
        <v>24.0</v>
      </c>
      <c r="C35" s="16">
        <v>0.200489</v>
      </c>
      <c r="D35" s="16">
        <v>0.200015938</v>
      </c>
      <c r="E35" s="16">
        <v>0.186236419</v>
      </c>
      <c r="F35" s="16">
        <v>0.178809463</v>
      </c>
      <c r="G35" s="16">
        <v>0.154821929</v>
      </c>
      <c r="H35" s="16">
        <v>0.166624207</v>
      </c>
      <c r="I35" s="16">
        <v>0.15950081</v>
      </c>
      <c r="J35" s="16">
        <v>0.188770256</v>
      </c>
      <c r="K35" s="2"/>
      <c r="L35" s="2"/>
      <c r="M35" s="10"/>
      <c r="N35" s="10"/>
      <c r="O35" s="10"/>
      <c r="P35" s="10"/>
      <c r="Q35" s="2"/>
      <c r="R35" s="2"/>
      <c r="S35" s="2"/>
      <c r="T35" s="2"/>
      <c r="U35" s="2"/>
      <c r="V35" s="2"/>
      <c r="W35" s="2"/>
      <c r="X35" s="2"/>
    </row>
    <row r="36">
      <c r="A36" s="6">
        <v>31.0</v>
      </c>
      <c r="B36" s="7">
        <v>24.0</v>
      </c>
      <c r="C36" s="16">
        <v>0.200489</v>
      </c>
      <c r="D36" s="16">
        <v>0.200015938</v>
      </c>
      <c r="E36" s="16">
        <v>0.186236419</v>
      </c>
      <c r="F36" s="16">
        <v>0.178809463</v>
      </c>
      <c r="G36" s="16">
        <v>0.154821929</v>
      </c>
      <c r="H36" s="16">
        <v>0.166624207</v>
      </c>
      <c r="I36" s="16">
        <v>0.15950081</v>
      </c>
      <c r="J36" s="16">
        <v>0.188770256</v>
      </c>
      <c r="K36" s="2"/>
      <c r="L36" s="2"/>
      <c r="M36" s="10"/>
      <c r="N36" s="10"/>
      <c r="O36" s="10"/>
      <c r="P36" s="10"/>
      <c r="Q36" s="2"/>
      <c r="R36" s="2"/>
      <c r="S36" s="2"/>
      <c r="T36" s="2"/>
      <c r="U36" s="2"/>
      <c r="V36" s="2"/>
      <c r="W36" s="2"/>
      <c r="X36" s="2"/>
    </row>
    <row r="37">
      <c r="A37" s="6">
        <v>32.0</v>
      </c>
      <c r="B37" s="7">
        <v>24.0</v>
      </c>
      <c r="C37" s="16">
        <v>0.200489</v>
      </c>
      <c r="D37" s="16">
        <v>0.200015938</v>
      </c>
      <c r="E37" s="16">
        <v>0.186236419</v>
      </c>
      <c r="F37" s="16">
        <v>0.178809463</v>
      </c>
      <c r="G37" s="16">
        <v>0.154821929</v>
      </c>
      <c r="H37" s="16">
        <v>0.166624207</v>
      </c>
      <c r="I37" s="16">
        <v>0.15950081</v>
      </c>
      <c r="J37" s="16">
        <v>0.188770256</v>
      </c>
      <c r="K37" s="2"/>
      <c r="L37" s="2"/>
      <c r="M37" s="10"/>
      <c r="N37" s="10"/>
      <c r="O37" s="10"/>
      <c r="P37" s="10"/>
      <c r="Q37" s="2"/>
      <c r="R37" s="2"/>
      <c r="S37" s="2"/>
      <c r="T37" s="2"/>
      <c r="U37" s="2"/>
      <c r="V37" s="2"/>
      <c r="W37" s="2"/>
      <c r="X37" s="2"/>
    </row>
    <row r="38">
      <c r="A38" s="6">
        <v>33.0</v>
      </c>
      <c r="B38" s="7">
        <v>24.0</v>
      </c>
      <c r="C38" s="16">
        <v>0.200489</v>
      </c>
      <c r="D38" s="16">
        <v>0.200015938</v>
      </c>
      <c r="E38" s="16">
        <v>0.186236419</v>
      </c>
      <c r="F38" s="16">
        <v>0.178809463</v>
      </c>
      <c r="G38" s="16">
        <v>0.154821929</v>
      </c>
      <c r="H38" s="16">
        <v>0.166624207</v>
      </c>
      <c r="I38" s="16">
        <v>0.15950081</v>
      </c>
      <c r="J38" s="16">
        <v>0.188770256</v>
      </c>
      <c r="K38" s="2"/>
      <c r="L38" s="2"/>
      <c r="M38" s="10"/>
      <c r="N38" s="10"/>
      <c r="O38" s="10"/>
      <c r="P38" s="10"/>
      <c r="Q38" s="2"/>
      <c r="R38" s="2"/>
      <c r="S38" s="2"/>
      <c r="T38" s="2"/>
      <c r="U38" s="2"/>
      <c r="V38" s="2"/>
      <c r="W38" s="2"/>
      <c r="X38" s="2"/>
    </row>
    <row r="39">
      <c r="A39" s="6">
        <v>34.0</v>
      </c>
      <c r="B39" s="7">
        <v>24.0</v>
      </c>
      <c r="C39" s="16">
        <v>0.200489</v>
      </c>
      <c r="D39" s="16">
        <v>0.200015938</v>
      </c>
      <c r="E39" s="16">
        <v>0.186236419</v>
      </c>
      <c r="F39" s="16">
        <v>0.178809463</v>
      </c>
      <c r="G39" s="16">
        <v>0.154821929</v>
      </c>
      <c r="H39" s="16">
        <v>0.166624207</v>
      </c>
      <c r="I39" s="16">
        <v>0.15950081</v>
      </c>
      <c r="J39" s="16">
        <v>0.188770256</v>
      </c>
      <c r="K39" s="2"/>
      <c r="L39" s="2"/>
      <c r="M39" s="10"/>
      <c r="N39" s="10"/>
      <c r="O39" s="10"/>
      <c r="P39" s="10"/>
      <c r="Q39" s="2"/>
      <c r="R39" s="2"/>
      <c r="S39" s="2"/>
      <c r="T39" s="2"/>
      <c r="U39" s="2"/>
      <c r="V39" s="2"/>
      <c r="W39" s="2"/>
      <c r="X39" s="2"/>
    </row>
    <row r="40">
      <c r="A40" s="6">
        <v>35.0</v>
      </c>
      <c r="B40" s="7">
        <v>28.0</v>
      </c>
      <c r="C40" s="17">
        <v>0.154540532</v>
      </c>
      <c r="D40" s="17">
        <v>0.128443334</v>
      </c>
      <c r="E40" s="17">
        <v>0.130885662</v>
      </c>
      <c r="F40" s="17">
        <v>0.133682039</v>
      </c>
      <c r="G40" s="17">
        <v>0.13457577</v>
      </c>
      <c r="H40" s="17">
        <v>0.14300302</v>
      </c>
      <c r="I40" s="17">
        <v>0.174127681</v>
      </c>
      <c r="J40" s="17">
        <v>0.227748319</v>
      </c>
      <c r="K40" s="2"/>
      <c r="L40" s="2"/>
      <c r="M40" s="10"/>
      <c r="N40" s="10"/>
      <c r="O40" s="10"/>
      <c r="P40" s="10"/>
      <c r="Q40" s="2"/>
      <c r="R40" s="2"/>
      <c r="S40" s="2"/>
      <c r="T40" s="2"/>
      <c r="U40" s="2"/>
      <c r="V40" s="2"/>
      <c r="W40" s="2"/>
      <c r="X40" s="2"/>
    </row>
    <row r="41">
      <c r="A41" s="6">
        <v>36.0</v>
      </c>
      <c r="B41" s="7">
        <v>28.0</v>
      </c>
      <c r="C41" s="17">
        <v>0.154540532</v>
      </c>
      <c r="D41" s="17">
        <v>0.128443334</v>
      </c>
      <c r="E41" s="17">
        <v>0.130885662</v>
      </c>
      <c r="F41" s="17">
        <v>0.133682039</v>
      </c>
      <c r="G41" s="17">
        <v>0.13457577</v>
      </c>
      <c r="H41" s="17">
        <v>0.14300302</v>
      </c>
      <c r="I41" s="17">
        <v>0.174127681</v>
      </c>
      <c r="J41" s="17">
        <v>0.227748319</v>
      </c>
      <c r="K41" s="2"/>
      <c r="L41" s="2"/>
      <c r="M41" s="10"/>
      <c r="N41" s="10"/>
      <c r="O41" s="10"/>
      <c r="P41" s="10"/>
      <c r="Q41" s="2"/>
      <c r="R41" s="2"/>
      <c r="S41" s="2"/>
      <c r="T41" s="2"/>
      <c r="U41" s="2"/>
      <c r="V41" s="2"/>
      <c r="W41" s="2"/>
      <c r="X41" s="2"/>
    </row>
    <row r="42">
      <c r="A42" s="6">
        <v>37.0</v>
      </c>
      <c r="B42" s="7">
        <v>28.0</v>
      </c>
      <c r="C42" s="17">
        <v>0.154540532</v>
      </c>
      <c r="D42" s="17">
        <v>0.128443334</v>
      </c>
      <c r="E42" s="17">
        <v>0.130885662</v>
      </c>
      <c r="F42" s="17">
        <v>0.133682039</v>
      </c>
      <c r="G42" s="17">
        <v>0.13457577</v>
      </c>
      <c r="H42" s="17">
        <v>0.14300302</v>
      </c>
      <c r="I42" s="17">
        <v>0.174127681</v>
      </c>
      <c r="J42" s="17">
        <v>0.227748319</v>
      </c>
      <c r="K42" s="2"/>
      <c r="L42" s="2"/>
      <c r="M42" s="10"/>
      <c r="N42" s="10"/>
      <c r="O42" s="10"/>
      <c r="P42" s="10"/>
      <c r="Q42" s="2"/>
      <c r="R42" s="2"/>
      <c r="S42" s="2"/>
      <c r="T42" s="2"/>
      <c r="U42" s="2"/>
      <c r="V42" s="2"/>
      <c r="W42" s="2"/>
      <c r="X42" s="2"/>
    </row>
    <row r="43">
      <c r="A43" s="6">
        <v>38.0</v>
      </c>
      <c r="B43" s="7">
        <v>28.0</v>
      </c>
      <c r="C43" s="17">
        <v>0.154540532</v>
      </c>
      <c r="D43" s="17">
        <v>0.128443334</v>
      </c>
      <c r="E43" s="17">
        <v>0.130885662</v>
      </c>
      <c r="F43" s="17">
        <v>0.133682039</v>
      </c>
      <c r="G43" s="17">
        <v>0.13457577</v>
      </c>
      <c r="H43" s="17">
        <v>0.14300302</v>
      </c>
      <c r="I43" s="17">
        <v>0.174127681</v>
      </c>
      <c r="J43" s="17">
        <v>0.227748319</v>
      </c>
      <c r="K43" s="2"/>
      <c r="L43" s="2"/>
      <c r="M43" s="10"/>
      <c r="N43" s="10"/>
      <c r="O43" s="10"/>
      <c r="P43" s="10"/>
      <c r="Q43" s="2"/>
      <c r="R43" s="2"/>
      <c r="S43" s="2"/>
      <c r="T43" s="2"/>
      <c r="U43" s="2"/>
      <c r="V43" s="2"/>
      <c r="W43" s="2"/>
      <c r="X43" s="2"/>
    </row>
    <row r="44">
      <c r="A44" s="6">
        <v>39.0</v>
      </c>
      <c r="B44" s="7">
        <v>28.0</v>
      </c>
      <c r="C44" s="17">
        <v>0.154540532</v>
      </c>
      <c r="D44" s="17">
        <v>0.128443334</v>
      </c>
      <c r="E44" s="17">
        <v>0.130885662</v>
      </c>
      <c r="F44" s="17">
        <v>0.133682039</v>
      </c>
      <c r="G44" s="17">
        <v>0.13457577</v>
      </c>
      <c r="H44" s="17">
        <v>0.14300302</v>
      </c>
      <c r="I44" s="17">
        <v>0.174127681</v>
      </c>
      <c r="J44" s="17">
        <v>0.227748319</v>
      </c>
      <c r="K44" s="5"/>
      <c r="L44" s="9"/>
      <c r="M44" s="10"/>
      <c r="N44" s="10"/>
      <c r="O44" s="10"/>
      <c r="P44" s="10"/>
      <c r="Q44" s="2"/>
      <c r="R44" s="2"/>
      <c r="S44" s="2"/>
      <c r="T44" s="2"/>
      <c r="U44" s="2"/>
      <c r="V44" s="2"/>
      <c r="W44" s="2"/>
      <c r="X44" s="2"/>
    </row>
    <row r="45">
      <c r="A45" s="6">
        <v>40.0</v>
      </c>
      <c r="B45" s="7">
        <v>28.0</v>
      </c>
      <c r="C45" s="17">
        <v>0.154540532</v>
      </c>
      <c r="D45" s="17">
        <v>0.128443334</v>
      </c>
      <c r="E45" s="17">
        <v>0.130885662</v>
      </c>
      <c r="F45" s="17">
        <v>0.133682039</v>
      </c>
      <c r="G45" s="17">
        <v>0.13457577</v>
      </c>
      <c r="H45" s="17">
        <v>0.14300302</v>
      </c>
      <c r="I45" s="17">
        <v>0.174127681</v>
      </c>
      <c r="J45" s="17">
        <v>0.227748319</v>
      </c>
      <c r="K45" s="5"/>
      <c r="L45" s="9"/>
      <c r="M45" s="10"/>
      <c r="N45" s="10"/>
      <c r="O45" s="10"/>
      <c r="P45" s="10"/>
      <c r="Q45" s="2"/>
      <c r="R45" s="2"/>
      <c r="S45" s="2"/>
      <c r="T45" s="2"/>
      <c r="U45" s="2"/>
      <c r="V45" s="2"/>
      <c r="W45" s="2"/>
      <c r="X45" s="2"/>
    </row>
    <row r="46">
      <c r="A46" s="1" t="s">
        <v>12</v>
      </c>
      <c r="B46" s="9"/>
      <c r="C46" s="9"/>
      <c r="D46" s="9"/>
      <c r="E46" s="9"/>
      <c r="F46" s="9"/>
      <c r="G46" s="9"/>
      <c r="H46" s="9"/>
      <c r="I46" s="9"/>
      <c r="J46" s="9"/>
      <c r="K46" s="2"/>
      <c r="L46" s="2"/>
      <c r="M46" s="10"/>
      <c r="N46" s="10"/>
      <c r="O46" s="10"/>
      <c r="P46" s="10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0"/>
      <c r="N47" s="10"/>
      <c r="O47" s="10"/>
      <c r="P47" s="10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0"/>
      <c r="N48" s="10"/>
      <c r="O48" s="10"/>
      <c r="P48" s="10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0"/>
      <c r="N49" s="10"/>
      <c r="O49" s="10"/>
      <c r="P49" s="10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0"/>
      <c r="N50" s="10"/>
      <c r="O50" s="10"/>
      <c r="P50" s="10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0"/>
      <c r="N51" s="10"/>
      <c r="O51" s="10"/>
      <c r="P51" s="10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0"/>
      <c r="N52" s="10"/>
      <c r="O52" s="10"/>
      <c r="P52" s="10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0"/>
      <c r="N53" s="10"/>
      <c r="O53" s="10"/>
      <c r="P53" s="10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0"/>
      <c r="N54" s="10"/>
      <c r="O54" s="10"/>
      <c r="P54" s="10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0"/>
      <c r="N55" s="10"/>
      <c r="O55" s="10"/>
      <c r="P55" s="10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0"/>
      <c r="N56" s="10"/>
      <c r="O56" s="10"/>
      <c r="P56" s="10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0"/>
      <c r="N57" s="10"/>
      <c r="O57" s="10"/>
      <c r="P57" s="10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0"/>
      <c r="N58" s="10"/>
      <c r="O58" s="10"/>
      <c r="P58" s="10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0"/>
      <c r="N59" s="10"/>
      <c r="O59" s="10"/>
      <c r="P59" s="10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0"/>
      <c r="N60" s="10"/>
      <c r="O60" s="10"/>
      <c r="P60" s="10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0"/>
      <c r="N61" s="10"/>
      <c r="O61" s="10"/>
      <c r="P61" s="10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G1" s="22" t="s">
        <v>18</v>
      </c>
      <c r="H1" s="22" t="s">
        <v>19</v>
      </c>
      <c r="I1" s="23" t="s">
        <v>20</v>
      </c>
      <c r="J1" s="23" t="s">
        <v>21</v>
      </c>
      <c r="L1" s="24" t="s">
        <v>22</v>
      </c>
      <c r="M1" s="22">
        <f>ABS((C26-C3)/C3)</f>
        <v>0.3153120601</v>
      </c>
      <c r="O1" s="25"/>
    </row>
    <row r="2">
      <c r="A2" s="26">
        <v>43879.0</v>
      </c>
      <c r="B2" s="27">
        <v>9956.735</v>
      </c>
      <c r="C2" s="28">
        <v>10000.0</v>
      </c>
      <c r="D2" s="29">
        <v>0.0</v>
      </c>
      <c r="E2" s="9">
        <v>0.0</v>
      </c>
      <c r="G2" s="30" t="s">
        <v>23</v>
      </c>
      <c r="H2" s="7">
        <v>0.16</v>
      </c>
      <c r="I2" s="7">
        <v>0.61181</v>
      </c>
      <c r="J2" s="7">
        <v>0.368083</v>
      </c>
      <c r="L2" s="24" t="s">
        <v>24</v>
      </c>
      <c r="M2" s="22">
        <f>ABS((B26-B3)/B3)</f>
        <v>0.2216464512</v>
      </c>
    </row>
    <row r="3">
      <c r="A3" s="26">
        <v>43880.0</v>
      </c>
      <c r="B3" s="27">
        <v>9876.612</v>
      </c>
      <c r="C3" s="28">
        <v>10051.75</v>
      </c>
      <c r="D3" s="29">
        <v>-94.4362</v>
      </c>
      <c r="E3" s="9">
        <v>-0.0094</v>
      </c>
      <c r="G3" s="31" t="s">
        <v>25</v>
      </c>
      <c r="H3" s="7">
        <v>0.11792</v>
      </c>
      <c r="I3" s="7">
        <v>0.34747</v>
      </c>
      <c r="J3" s="7">
        <v>1.161009</v>
      </c>
      <c r="L3" s="24" t="s">
        <v>26</v>
      </c>
      <c r="M3" s="22">
        <f>1-M2/M1</f>
        <v>0.2970568548</v>
      </c>
    </row>
    <row r="4">
      <c r="A4" s="26">
        <v>43881.0</v>
      </c>
      <c r="B4" s="27">
        <v>9940.324</v>
      </c>
      <c r="C4" s="28">
        <v>10000.99</v>
      </c>
      <c r="D4" s="29">
        <v>-28.2263</v>
      </c>
      <c r="E4" s="9">
        <v>-0.0028</v>
      </c>
      <c r="G4" s="31" t="s">
        <v>27</v>
      </c>
      <c r="H4" s="7">
        <v>0.107866</v>
      </c>
      <c r="I4" s="7">
        <v>0.104932</v>
      </c>
      <c r="J4" s="7">
        <v>0.490481</v>
      </c>
      <c r="L4" s="9"/>
      <c r="M4" s="9"/>
      <c r="N4" s="9"/>
      <c r="O4" s="9"/>
      <c r="P4" s="9"/>
    </row>
    <row r="5">
      <c r="A5" s="26">
        <v>43882.0</v>
      </c>
      <c r="B5" s="27">
        <v>9933.362</v>
      </c>
      <c r="C5" s="28">
        <v>9885.979</v>
      </c>
      <c r="D5" s="29">
        <v>17.23667</v>
      </c>
      <c r="E5" s="9">
        <v>0.0017</v>
      </c>
      <c r="G5" s="31" t="s">
        <v>28</v>
      </c>
      <c r="H5" s="7">
        <v>0.080296</v>
      </c>
      <c r="I5" s="7">
        <v>0.294607</v>
      </c>
      <c r="J5" s="7">
        <v>0.582136</v>
      </c>
      <c r="L5" s="9"/>
      <c r="M5" s="9"/>
      <c r="N5" s="9"/>
      <c r="O5" s="9"/>
      <c r="P5" s="9"/>
    </row>
    <row r="6">
      <c r="A6" s="26">
        <v>43885.0</v>
      </c>
      <c r="B6" s="27">
        <v>9731.198</v>
      </c>
      <c r="C6" s="28">
        <v>9531.473</v>
      </c>
      <c r="D6" s="29">
        <v>101.8277</v>
      </c>
      <c r="E6" s="9">
        <v>0.0107</v>
      </c>
      <c r="G6" s="31" t="s">
        <v>29</v>
      </c>
      <c r="H6" s="7">
        <v>0.16</v>
      </c>
      <c r="I6" s="7">
        <v>-0.2453</v>
      </c>
      <c r="J6" s="7">
        <v>1.062981</v>
      </c>
      <c r="L6" s="9"/>
      <c r="M6" s="9"/>
      <c r="N6" s="9"/>
      <c r="O6" s="9"/>
      <c r="P6" s="9"/>
    </row>
    <row r="7">
      <c r="A7" s="26">
        <v>43886.0</v>
      </c>
      <c r="B7" s="27">
        <v>9564.613</v>
      </c>
      <c r="C7" s="28">
        <v>9252.21</v>
      </c>
      <c r="D7" s="29">
        <v>207.1858</v>
      </c>
      <c r="E7" s="9">
        <v>0.0224</v>
      </c>
      <c r="G7" s="31" t="s">
        <v>30</v>
      </c>
      <c r="H7" s="7">
        <v>0.049591</v>
      </c>
      <c r="I7" s="7">
        <v>0.294791</v>
      </c>
      <c r="J7" s="7">
        <v>0.701342</v>
      </c>
      <c r="L7" s="9"/>
      <c r="M7" s="9"/>
      <c r="N7" s="32"/>
      <c r="O7" s="9"/>
      <c r="P7" s="9"/>
    </row>
    <row r="8">
      <c r="A8" s="26">
        <v>43887.0</v>
      </c>
      <c r="B8" s="27">
        <v>9513.207</v>
      </c>
      <c r="C8" s="28">
        <v>9234.541</v>
      </c>
      <c r="D8" s="29">
        <v>168.9748</v>
      </c>
      <c r="E8" s="9">
        <v>0.0183</v>
      </c>
      <c r="G8" s="31" t="s">
        <v>31</v>
      </c>
      <c r="H8" s="7">
        <v>0.16</v>
      </c>
      <c r="I8" s="7">
        <v>-0.11277</v>
      </c>
      <c r="J8" s="7">
        <v>1.173178</v>
      </c>
      <c r="L8" s="9"/>
      <c r="M8" s="9"/>
      <c r="N8" s="9"/>
      <c r="O8" s="9"/>
      <c r="P8" s="9"/>
    </row>
    <row r="9">
      <c r="A9" s="26">
        <v>43888.0</v>
      </c>
      <c r="B9" s="27">
        <v>9128.955</v>
      </c>
      <c r="C9" s="28">
        <v>8811.874</v>
      </c>
      <c r="D9" s="29">
        <v>171.2891</v>
      </c>
      <c r="E9" s="9">
        <v>0.0194</v>
      </c>
      <c r="G9" s="31" t="s">
        <v>32</v>
      </c>
      <c r="H9" s="7">
        <v>0.16</v>
      </c>
      <c r="I9" s="7">
        <v>0.589276</v>
      </c>
      <c r="J9" s="7">
        <v>0.078002</v>
      </c>
      <c r="L9" s="9"/>
      <c r="M9" s="9"/>
      <c r="N9" s="9"/>
      <c r="O9" s="9"/>
      <c r="P9" s="9"/>
    </row>
    <row r="10">
      <c r="A10" s="26">
        <v>43889.0</v>
      </c>
      <c r="B10" s="27">
        <v>8889.483</v>
      </c>
      <c r="C10" s="28">
        <v>8764.559</v>
      </c>
      <c r="D10" s="29">
        <v>54.67665</v>
      </c>
      <c r="E10" s="9">
        <v>0.0062</v>
      </c>
      <c r="G10" s="22"/>
      <c r="H10" s="22"/>
      <c r="I10" s="24"/>
      <c r="J10" s="24"/>
      <c r="L10" s="9"/>
      <c r="M10" s="9"/>
      <c r="N10" s="9"/>
      <c r="O10" s="9"/>
      <c r="P10" s="9"/>
    </row>
    <row r="11">
      <c r="A11" s="26">
        <v>43892.0</v>
      </c>
      <c r="B11" s="27">
        <v>9480.912</v>
      </c>
      <c r="C11" s="28">
        <v>9189.938</v>
      </c>
      <c r="D11" s="29">
        <v>88.98289</v>
      </c>
      <c r="E11" s="9">
        <v>0.0097</v>
      </c>
      <c r="G11" s="22"/>
      <c r="H11" s="22"/>
      <c r="I11" s="24"/>
      <c r="J11" s="24"/>
      <c r="L11" s="9"/>
      <c r="M11" s="9"/>
      <c r="N11" s="9"/>
      <c r="O11" s="9"/>
      <c r="P11" s="9"/>
    </row>
    <row r="12">
      <c r="A12" s="26">
        <v>43893.0</v>
      </c>
      <c r="B12" s="27">
        <v>9346.492</v>
      </c>
      <c r="C12" s="28">
        <v>8908.822</v>
      </c>
      <c r="D12" s="29">
        <v>208.6843</v>
      </c>
      <c r="E12" s="9">
        <v>0.0234</v>
      </c>
      <c r="G12" s="22"/>
      <c r="H12" s="22"/>
      <c r="I12" s="24"/>
      <c r="J12" s="24"/>
      <c r="L12" s="9"/>
      <c r="M12" s="9"/>
      <c r="N12" s="9"/>
      <c r="O12" s="9"/>
      <c r="P12" s="9"/>
    </row>
    <row r="13">
      <c r="A13" s="26">
        <v>43894.0</v>
      </c>
      <c r="B13" s="27">
        <v>9871.066</v>
      </c>
      <c r="C13" s="28">
        <v>9282.651</v>
      </c>
      <c r="D13" s="29">
        <v>365.0018</v>
      </c>
      <c r="E13" s="9">
        <v>0.0393</v>
      </c>
      <c r="G13" s="22"/>
      <c r="H13" s="22"/>
      <c r="I13" s="24"/>
      <c r="J13" s="24"/>
      <c r="K13" s="9"/>
      <c r="L13" s="9"/>
      <c r="M13" s="9"/>
      <c r="N13" s="9"/>
      <c r="O13" s="9"/>
      <c r="P13" s="9"/>
    </row>
    <row r="14">
      <c r="A14" s="26">
        <v>43895.0</v>
      </c>
      <c r="B14" s="27">
        <v>9725.22</v>
      </c>
      <c r="C14" s="28">
        <v>8974.138</v>
      </c>
      <c r="D14" s="29">
        <v>481.2492</v>
      </c>
      <c r="E14" s="9">
        <v>0.0536</v>
      </c>
      <c r="K14" s="9"/>
      <c r="L14" s="9"/>
      <c r="M14" s="9"/>
      <c r="N14" s="9"/>
      <c r="O14" s="9"/>
      <c r="P14" s="9"/>
    </row>
    <row r="15">
      <c r="A15" s="26">
        <v>43896.0</v>
      </c>
      <c r="B15" s="27">
        <v>9666.754</v>
      </c>
      <c r="C15" s="28">
        <v>8837.551</v>
      </c>
      <c r="D15" s="29">
        <v>564.0326</v>
      </c>
      <c r="E15" s="9">
        <v>0.0638</v>
      </c>
      <c r="K15" s="9"/>
      <c r="L15" s="9"/>
      <c r="M15" s="9"/>
      <c r="N15" s="9"/>
      <c r="O15" s="9"/>
      <c r="P15" s="9"/>
      <c r="Q15" s="33" t="s">
        <v>33</v>
      </c>
      <c r="R15" s="33" t="s">
        <v>34</v>
      </c>
    </row>
    <row r="16">
      <c r="A16" s="26">
        <v>43899.0</v>
      </c>
      <c r="B16" s="27">
        <v>9285.576</v>
      </c>
      <c r="C16" s="28">
        <v>8189.356</v>
      </c>
      <c r="D16" s="29">
        <v>708.6246</v>
      </c>
      <c r="E16" s="9">
        <v>0.0865</v>
      </c>
      <c r="K16" s="9"/>
      <c r="L16" s="9"/>
      <c r="M16" s="9"/>
      <c r="N16" s="9"/>
      <c r="O16" s="9"/>
      <c r="P16" s="9"/>
      <c r="Q16" s="18" t="s">
        <v>35</v>
      </c>
      <c r="R16" s="7">
        <v>4.0</v>
      </c>
    </row>
    <row r="17">
      <c r="A17" s="26">
        <v>43900.0</v>
      </c>
      <c r="B17" s="27">
        <v>9447.865</v>
      </c>
      <c r="C17" s="28">
        <v>8606.133</v>
      </c>
      <c r="D17" s="29">
        <v>542.8395</v>
      </c>
      <c r="E17" s="9">
        <v>0.0631</v>
      </c>
      <c r="K17" s="9"/>
      <c r="L17" s="9"/>
      <c r="M17" s="9"/>
      <c r="N17" s="9"/>
      <c r="O17" s="9"/>
      <c r="P17" s="9"/>
      <c r="Q17" s="18" t="s">
        <v>36</v>
      </c>
      <c r="R17" s="7">
        <v>4.0</v>
      </c>
    </row>
    <row r="18">
      <c r="A18" s="26">
        <v>43901.0</v>
      </c>
      <c r="B18" s="27">
        <v>9045.432</v>
      </c>
      <c r="C18" s="28">
        <v>8198.157</v>
      </c>
      <c r="D18" s="29">
        <v>569.477</v>
      </c>
      <c r="E18" s="9">
        <v>0.0695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18" t="s">
        <v>37</v>
      </c>
      <c r="R18" s="7">
        <v>4.0</v>
      </c>
    </row>
    <row r="19">
      <c r="A19" s="26">
        <v>43902.0</v>
      </c>
      <c r="B19" s="27">
        <v>8203.985</v>
      </c>
      <c r="C19" s="28">
        <v>7434.42</v>
      </c>
      <c r="D19" s="29">
        <v>428.6699</v>
      </c>
      <c r="E19" s="9">
        <v>0.0577</v>
      </c>
      <c r="Q19" s="18" t="s">
        <v>38</v>
      </c>
      <c r="R19" s="7">
        <v>4.0</v>
      </c>
    </row>
    <row r="20">
      <c r="A20" s="26">
        <v>43903.0</v>
      </c>
      <c r="B20" s="27">
        <v>8776.707</v>
      </c>
      <c r="C20" s="28">
        <v>8187.304</v>
      </c>
      <c r="D20" s="29">
        <v>240.2786</v>
      </c>
      <c r="E20" s="9">
        <v>0.0293</v>
      </c>
      <c r="Q20" s="18" t="s">
        <v>25</v>
      </c>
      <c r="R20" s="7">
        <v>4.0</v>
      </c>
    </row>
    <row r="21">
      <c r="A21" s="26">
        <v>43906.0</v>
      </c>
      <c r="B21" s="27">
        <v>8092.423</v>
      </c>
      <c r="C21" s="28">
        <v>7240.126</v>
      </c>
      <c r="D21" s="29">
        <v>267.3522</v>
      </c>
      <c r="E21" s="9">
        <v>0.0369</v>
      </c>
      <c r="Q21" s="18" t="s">
        <v>27</v>
      </c>
      <c r="R21" s="7">
        <v>4.0</v>
      </c>
    </row>
    <row r="22">
      <c r="A22" s="26">
        <v>43907.0</v>
      </c>
      <c r="B22" s="27">
        <v>8927.817</v>
      </c>
      <c r="C22" s="28">
        <v>7670.536</v>
      </c>
      <c r="D22" s="29">
        <v>532.8591</v>
      </c>
      <c r="E22" s="9">
        <v>0.0695</v>
      </c>
      <c r="Q22" s="18" t="s">
        <v>39</v>
      </c>
      <c r="R22" s="7">
        <v>4.0</v>
      </c>
    </row>
    <row r="23">
      <c r="A23" s="26">
        <v>43908.0</v>
      </c>
      <c r="B23" s="27">
        <v>8818.068</v>
      </c>
      <c r="C23" s="28">
        <v>7349.449</v>
      </c>
      <c r="D23" s="29">
        <v>609.3303</v>
      </c>
      <c r="E23" s="9">
        <v>0.0829</v>
      </c>
      <c r="Q23" s="18" t="s">
        <v>28</v>
      </c>
      <c r="R23" s="7">
        <v>4.0</v>
      </c>
    </row>
    <row r="24">
      <c r="A24" s="26">
        <v>43909.0</v>
      </c>
      <c r="B24" s="27">
        <v>8464.055</v>
      </c>
      <c r="C24" s="28">
        <v>7375.986</v>
      </c>
      <c r="D24" s="29">
        <v>452.068</v>
      </c>
      <c r="E24" s="9">
        <v>0.0613</v>
      </c>
      <c r="Q24" s="18" t="s">
        <v>29</v>
      </c>
      <c r="R24" s="7">
        <v>4.0</v>
      </c>
    </row>
    <row r="25">
      <c r="A25" s="26">
        <v>43910.0</v>
      </c>
      <c r="B25" s="27">
        <v>7945.222</v>
      </c>
      <c r="C25" s="28">
        <v>7052.054</v>
      </c>
      <c r="D25" s="29">
        <v>374.5872</v>
      </c>
      <c r="E25" s="9">
        <v>0.0531</v>
      </c>
      <c r="Q25" s="18" t="s">
        <v>40</v>
      </c>
      <c r="R25" s="7">
        <v>4.0</v>
      </c>
    </row>
    <row r="26">
      <c r="A26" s="34">
        <v>43913.0</v>
      </c>
      <c r="B26" s="27">
        <v>7687.496</v>
      </c>
      <c r="C26" s="28">
        <v>6882.312</v>
      </c>
      <c r="D26" s="35">
        <v>326.074</v>
      </c>
      <c r="E26" s="15">
        <v>0.0474</v>
      </c>
      <c r="Q26" s="18" t="s">
        <v>30</v>
      </c>
      <c r="R26" s="7">
        <v>4.0</v>
      </c>
    </row>
    <row r="27">
      <c r="A27" s="26">
        <v>43914.0</v>
      </c>
      <c r="B27" s="27">
        <v>8085.691</v>
      </c>
      <c r="C27" s="28">
        <v>7480.677</v>
      </c>
      <c r="D27" s="29">
        <v>395.547</v>
      </c>
      <c r="E27" s="9">
        <v>0.0529</v>
      </c>
      <c r="Q27" s="18" t="s">
        <v>41</v>
      </c>
      <c r="R27" s="7">
        <v>4.0</v>
      </c>
    </row>
    <row r="28">
      <c r="A28" s="26">
        <v>43915.0</v>
      </c>
      <c r="B28" s="27">
        <v>8054.889</v>
      </c>
      <c r="C28" s="28">
        <v>7512.308</v>
      </c>
      <c r="D28" s="29">
        <v>393.5449</v>
      </c>
      <c r="E28" s="9">
        <v>0.0524</v>
      </c>
      <c r="Q28" s="18" t="s">
        <v>31</v>
      </c>
      <c r="R28" s="7">
        <v>4.0</v>
      </c>
    </row>
    <row r="29">
      <c r="A29" s="26">
        <v>43916.0</v>
      </c>
      <c r="B29" s="27">
        <v>8577.698</v>
      </c>
      <c r="C29" s="28">
        <v>7970.909</v>
      </c>
      <c r="D29" s="29">
        <v>517.7692</v>
      </c>
      <c r="E29" s="9">
        <v>0.065</v>
      </c>
      <c r="Q29" s="18" t="s">
        <v>42</v>
      </c>
      <c r="R29" s="7">
        <v>4.0</v>
      </c>
    </row>
    <row r="30">
      <c r="A30" s="26">
        <v>43917.0</v>
      </c>
      <c r="B30" s="27">
        <v>8521.781</v>
      </c>
      <c r="C30" s="28">
        <v>7691.646</v>
      </c>
      <c r="D30" s="29">
        <v>685.845</v>
      </c>
      <c r="E30" s="9">
        <v>0.0892</v>
      </c>
      <c r="Q30" s="18" t="s">
        <v>32</v>
      </c>
      <c r="R30" s="7">
        <v>4.0</v>
      </c>
    </row>
    <row r="31">
      <c r="A31" s="26">
        <v>43920.0</v>
      </c>
      <c r="B31" s="27">
        <v>8904.021</v>
      </c>
      <c r="C31" s="28">
        <v>7968.527</v>
      </c>
      <c r="D31" s="29">
        <v>733.9438</v>
      </c>
      <c r="E31" s="9">
        <v>0.0921</v>
      </c>
      <c r="Q31" s="18" t="s">
        <v>43</v>
      </c>
      <c r="R31" s="7">
        <v>2.0</v>
      </c>
    </row>
    <row r="32">
      <c r="A32" s="26">
        <v>43921.0</v>
      </c>
      <c r="B32" s="27">
        <v>8700.872</v>
      </c>
      <c r="C32" s="28">
        <v>7858.277</v>
      </c>
      <c r="D32" s="29">
        <v>663.9816</v>
      </c>
      <c r="E32" s="9">
        <v>0.0845</v>
      </c>
      <c r="Q32" s="18" t="s">
        <v>44</v>
      </c>
      <c r="R32" s="7">
        <v>1.0</v>
      </c>
    </row>
    <row r="33">
      <c r="A33" s="26">
        <v>43922.0</v>
      </c>
      <c r="B33" s="27">
        <v>8402.509</v>
      </c>
      <c r="C33" s="28">
        <v>7539.508</v>
      </c>
      <c r="D33" s="29">
        <v>571.2774</v>
      </c>
      <c r="E33" s="9">
        <v>0.0758</v>
      </c>
      <c r="Q33" s="18" t="s">
        <v>23</v>
      </c>
      <c r="R33" s="7">
        <v>1.0</v>
      </c>
    </row>
    <row r="34">
      <c r="A34" s="26">
        <v>43923.0</v>
      </c>
      <c r="B34" s="27">
        <v>8716.331</v>
      </c>
      <c r="C34" s="28">
        <v>7732.741</v>
      </c>
      <c r="D34" s="29">
        <v>619.9337</v>
      </c>
      <c r="E34" s="9">
        <v>0.0802</v>
      </c>
      <c r="Q34" s="18" t="s">
        <v>45</v>
      </c>
      <c r="R34" s="7">
        <v>1.0</v>
      </c>
    </row>
    <row r="35">
      <c r="A35" s="26">
        <v>43924.0</v>
      </c>
      <c r="B35" s="27">
        <v>8611.823</v>
      </c>
      <c r="C35" s="28">
        <v>7620.639</v>
      </c>
      <c r="D35" s="29">
        <v>571.0703</v>
      </c>
      <c r="E35" s="9">
        <v>0.0749</v>
      </c>
      <c r="Q35" s="33"/>
      <c r="R35" s="36"/>
    </row>
    <row r="36">
      <c r="A36" s="26">
        <v>43927.0</v>
      </c>
      <c r="B36" s="27">
        <v>9096.21</v>
      </c>
      <c r="C36" s="28">
        <v>8127.416</v>
      </c>
      <c r="D36" s="29">
        <v>595.6758</v>
      </c>
      <c r="E36" s="9">
        <v>0.0733</v>
      </c>
      <c r="Q36" s="33"/>
      <c r="R36" s="36"/>
    </row>
    <row r="37">
      <c r="A37" s="26">
        <v>43928.0</v>
      </c>
      <c r="B37" s="27">
        <v>8954.883</v>
      </c>
      <c r="C37" s="28">
        <v>8091.68</v>
      </c>
      <c r="D37" s="29">
        <v>588.3322</v>
      </c>
      <c r="E37" s="9">
        <v>0.0727</v>
      </c>
      <c r="Q37" s="33"/>
      <c r="R37" s="36"/>
    </row>
    <row r="38">
      <c r="A38" s="26">
        <v>43929.0</v>
      </c>
      <c r="B38" s="27">
        <v>9162.284</v>
      </c>
      <c r="C38" s="28">
        <v>8327.929</v>
      </c>
      <c r="D38" s="29">
        <v>605.2629</v>
      </c>
      <c r="E38" s="9">
        <v>0.0727</v>
      </c>
      <c r="Q38" s="33"/>
      <c r="R38" s="36"/>
    </row>
    <row r="39">
      <c r="A39" s="26">
        <v>43930.0</v>
      </c>
      <c r="B39" s="27">
        <v>9275.505</v>
      </c>
      <c r="C39" s="28">
        <v>8412.303</v>
      </c>
      <c r="D39" s="29">
        <v>666.1561</v>
      </c>
      <c r="E39" s="9">
        <v>0.0792</v>
      </c>
      <c r="Q39" s="33"/>
      <c r="R39" s="36"/>
    </row>
    <row r="40">
      <c r="A40" s="26">
        <v>43934.0</v>
      </c>
      <c r="B40" s="27">
        <v>9143.284</v>
      </c>
      <c r="C40" s="28">
        <v>8381.002</v>
      </c>
      <c r="D40" s="29">
        <v>647.4334</v>
      </c>
      <c r="E40" s="9">
        <v>0.0773</v>
      </c>
      <c r="Q40" s="33"/>
      <c r="R40" s="36"/>
    </row>
    <row r="41">
      <c r="A41" s="26">
        <v>43935.0</v>
      </c>
      <c r="B41" s="27">
        <v>9463.24</v>
      </c>
      <c r="C41" s="28">
        <v>8649.809</v>
      </c>
      <c r="D41" s="29">
        <v>686.3275</v>
      </c>
      <c r="E41" s="9">
        <v>0.0793</v>
      </c>
    </row>
    <row r="42">
      <c r="A42" s="26">
        <v>43936.0</v>
      </c>
      <c r="B42" s="27">
        <v>9307.496</v>
      </c>
      <c r="C42" s="28">
        <v>8494.892</v>
      </c>
      <c r="D42" s="29">
        <v>710.7751</v>
      </c>
      <c r="E42" s="9">
        <v>0.0837</v>
      </c>
    </row>
    <row r="43">
      <c r="A43" s="26">
        <v>43937.0</v>
      </c>
      <c r="B43" s="27">
        <v>9427.094</v>
      </c>
      <c r="C43" s="28">
        <v>8555.906</v>
      </c>
      <c r="D43" s="29">
        <v>832.7692</v>
      </c>
      <c r="E43" s="9">
        <v>0.0973</v>
      </c>
    </row>
    <row r="44">
      <c r="A44" s="26">
        <v>43938.0</v>
      </c>
      <c r="B44" s="27">
        <v>9561.776</v>
      </c>
      <c r="C44" s="28">
        <v>8739.743</v>
      </c>
      <c r="D44" s="29">
        <v>790.0556</v>
      </c>
      <c r="E44" s="9">
        <v>0.0904</v>
      </c>
    </row>
    <row r="45">
      <c r="A45" s="26">
        <v>43941.0</v>
      </c>
      <c r="B45" s="27">
        <v>9361.688</v>
      </c>
      <c r="C45" s="28">
        <v>8598.788</v>
      </c>
      <c r="D45" s="29">
        <v>779.9933</v>
      </c>
      <c r="E45" s="9">
        <v>0.0907</v>
      </c>
    </row>
    <row r="46">
      <c r="A46" s="26">
        <v>43942.0</v>
      </c>
      <c r="B46" s="27">
        <v>9176.129</v>
      </c>
      <c r="C46" s="28">
        <v>8334.679</v>
      </c>
      <c r="D46" s="29">
        <v>837.7528</v>
      </c>
      <c r="E46" s="9">
        <v>0.1005</v>
      </c>
    </row>
    <row r="47">
      <c r="A47" s="26">
        <v>43943.0</v>
      </c>
      <c r="B47" s="27">
        <v>9400.763</v>
      </c>
      <c r="C47" s="28">
        <v>8525.994</v>
      </c>
      <c r="D47" s="29">
        <v>950.0539</v>
      </c>
      <c r="E47" s="9">
        <v>0.1114</v>
      </c>
    </row>
    <row r="48">
      <c r="A48" s="26">
        <v>43944.0</v>
      </c>
      <c r="B48" s="27">
        <v>9323.974</v>
      </c>
      <c r="C48" s="28">
        <v>8527.715</v>
      </c>
      <c r="D48" s="29">
        <v>943.7378</v>
      </c>
      <c r="E48" s="9">
        <v>0.1107</v>
      </c>
    </row>
    <row r="49">
      <c r="A49" s="26">
        <v>43945.0</v>
      </c>
      <c r="B49" s="27">
        <v>9408.078</v>
      </c>
      <c r="C49" s="28">
        <v>8644.714</v>
      </c>
      <c r="D49" s="29">
        <v>916.9093</v>
      </c>
      <c r="E49" s="9">
        <v>0.1061</v>
      </c>
    </row>
    <row r="50">
      <c r="A50" s="26">
        <v>43948.0</v>
      </c>
      <c r="B50" s="27">
        <v>9457.65</v>
      </c>
      <c r="C50" s="28">
        <v>8736.103</v>
      </c>
      <c r="D50" s="29">
        <v>846.4492</v>
      </c>
      <c r="E50" s="9">
        <v>0.0969</v>
      </c>
    </row>
    <row r="51">
      <c r="A51" s="26">
        <v>43949.0</v>
      </c>
      <c r="B51" s="27">
        <v>9339.337</v>
      </c>
      <c r="C51" s="28">
        <v>8650.339</v>
      </c>
      <c r="D51" s="29">
        <v>778.6741</v>
      </c>
      <c r="E51" s="9">
        <v>0.09</v>
      </c>
    </row>
    <row r="52">
      <c r="A52" s="26">
        <v>43950.0</v>
      </c>
      <c r="B52" s="27">
        <v>9239.131</v>
      </c>
      <c r="C52" s="28">
        <v>8885.264</v>
      </c>
      <c r="D52" s="29">
        <v>567.7763</v>
      </c>
      <c r="E52" s="9">
        <v>0.0639</v>
      </c>
    </row>
    <row r="53">
      <c r="A53" s="26">
        <v>43951.0</v>
      </c>
      <c r="B53" s="27">
        <v>9117.651</v>
      </c>
      <c r="C53" s="28">
        <v>8854.492</v>
      </c>
      <c r="D53" s="29">
        <v>625.4668</v>
      </c>
      <c r="E53" s="9">
        <v>0.0706</v>
      </c>
    </row>
    <row r="54">
      <c r="A54" s="26">
        <v>43952.0</v>
      </c>
      <c r="B54" s="27">
        <v>9019.866</v>
      </c>
      <c r="C54" s="28">
        <v>8617.185</v>
      </c>
      <c r="D54" s="29">
        <v>530.0889</v>
      </c>
      <c r="E54" s="9">
        <v>0.0615</v>
      </c>
    </row>
    <row r="55">
      <c r="A55" s="26">
        <v>43955.0</v>
      </c>
      <c r="B55" s="27">
        <v>9048.216</v>
      </c>
      <c r="C55" s="28">
        <v>8654.575</v>
      </c>
      <c r="D55" s="29">
        <v>551.1477</v>
      </c>
      <c r="E55" s="9">
        <v>0.0637</v>
      </c>
    </row>
    <row r="56">
      <c r="A56" s="26">
        <v>43956.0</v>
      </c>
      <c r="B56" s="27">
        <v>9148.269</v>
      </c>
      <c r="C56" s="28">
        <v>8726.573</v>
      </c>
      <c r="D56" s="29">
        <v>550.3679</v>
      </c>
      <c r="E56" s="9">
        <v>0.0631</v>
      </c>
    </row>
    <row r="57">
      <c r="A57" s="26">
        <v>43957.0</v>
      </c>
      <c r="B57" s="27">
        <v>9002.966</v>
      </c>
      <c r="C57" s="28">
        <v>8689.118</v>
      </c>
      <c r="D57" s="29">
        <v>483.2212</v>
      </c>
      <c r="E57" s="9">
        <v>0.0556</v>
      </c>
    </row>
    <row r="58">
      <c r="A58" s="26">
        <v>43958.0</v>
      </c>
      <c r="B58" s="27">
        <v>8945.819</v>
      </c>
      <c r="C58" s="28">
        <v>8771.242</v>
      </c>
      <c r="D58" s="29">
        <v>423.1632</v>
      </c>
      <c r="E58" s="9">
        <v>0.0482</v>
      </c>
    </row>
    <row r="59">
      <c r="A59" s="26">
        <v>43959.0</v>
      </c>
      <c r="B59" s="27">
        <v>9079.081</v>
      </c>
      <c r="C59" s="28">
        <v>8901.94</v>
      </c>
      <c r="D59" s="29">
        <v>381.7104</v>
      </c>
      <c r="E59" s="9">
        <v>0.0429</v>
      </c>
    </row>
    <row r="60">
      <c r="A60" s="26">
        <v>43962.0</v>
      </c>
      <c r="B60" s="27">
        <v>9146.042</v>
      </c>
      <c r="C60" s="28">
        <v>8922.588</v>
      </c>
      <c r="D60" s="29">
        <v>443.2148</v>
      </c>
      <c r="E60" s="9">
        <v>0.0497</v>
      </c>
    </row>
    <row r="61">
      <c r="A61" s="26">
        <v>43963.0</v>
      </c>
      <c r="B61" s="27">
        <v>9085.795</v>
      </c>
      <c r="C61" s="28">
        <v>8754.235</v>
      </c>
      <c r="D61" s="29">
        <v>500.7692</v>
      </c>
      <c r="E61" s="9">
        <v>0.0572</v>
      </c>
    </row>
    <row r="62">
      <c r="A62" s="26">
        <v>43964.0</v>
      </c>
      <c r="B62" s="27">
        <v>9032.387</v>
      </c>
      <c r="C62" s="28">
        <v>8621.883</v>
      </c>
      <c r="D62" s="29">
        <v>553.6206</v>
      </c>
      <c r="E62" s="9">
        <v>0.0642</v>
      </c>
    </row>
    <row r="63">
      <c r="A63" s="26">
        <v>43965.0</v>
      </c>
      <c r="B63" s="27">
        <v>9075.804</v>
      </c>
      <c r="C63" s="28">
        <v>8717.971</v>
      </c>
      <c r="D63" s="29">
        <v>591.116</v>
      </c>
      <c r="E63" s="9">
        <v>0.0678</v>
      </c>
    </row>
    <row r="64">
      <c r="A64" s="26">
        <v>43966.0</v>
      </c>
      <c r="B64" s="27">
        <v>9043.855</v>
      </c>
      <c r="C64" s="28">
        <v>8758.669</v>
      </c>
      <c r="D64" s="29">
        <v>489.4446</v>
      </c>
      <c r="E64" s="9">
        <v>0.0559</v>
      </c>
    </row>
    <row r="65">
      <c r="A65" s="26">
        <v>43969.0</v>
      </c>
      <c r="B65" s="27">
        <v>9202.151</v>
      </c>
      <c r="C65" s="28">
        <v>8985.918</v>
      </c>
      <c r="D65" s="29">
        <v>428.0578</v>
      </c>
      <c r="E65" s="9">
        <v>0.0476</v>
      </c>
    </row>
    <row r="66">
      <c r="A66" s="26">
        <v>43970.0</v>
      </c>
      <c r="B66" s="27">
        <v>9072.188</v>
      </c>
      <c r="C66" s="28">
        <v>8894.727</v>
      </c>
      <c r="D66" s="29">
        <v>462.0254</v>
      </c>
      <c r="E66" s="9">
        <v>0.0519</v>
      </c>
    </row>
    <row r="67">
      <c r="A67" s="26">
        <v>43971.0</v>
      </c>
      <c r="B67" s="27">
        <v>9119.196</v>
      </c>
      <c r="C67" s="28">
        <v>9046.204</v>
      </c>
      <c r="D67" s="29">
        <v>418.4463</v>
      </c>
      <c r="E67" s="9">
        <v>0.0463</v>
      </c>
    </row>
    <row r="68">
      <c r="A68" s="26">
        <v>43972.0</v>
      </c>
      <c r="B68" s="27">
        <v>9021.945</v>
      </c>
      <c r="C68" s="28">
        <v>8974.536</v>
      </c>
      <c r="D68" s="29">
        <v>383.1617</v>
      </c>
      <c r="E68" s="9">
        <v>0.0427</v>
      </c>
    </row>
    <row r="69">
      <c r="A69" s="26">
        <v>43973.0</v>
      </c>
      <c r="B69" s="27">
        <v>9051.799</v>
      </c>
      <c r="C69" s="28">
        <v>8992.932</v>
      </c>
      <c r="D69" s="29">
        <v>398.9216</v>
      </c>
      <c r="E69" s="9">
        <v>0.0444</v>
      </c>
    </row>
    <row r="70">
      <c r="A70" s="26">
        <v>43977.0</v>
      </c>
      <c r="B70" s="27">
        <v>9064.795</v>
      </c>
      <c r="C70" s="28">
        <v>9065.991</v>
      </c>
      <c r="D70" s="29">
        <v>298.7938</v>
      </c>
      <c r="E70" s="9">
        <v>0.033</v>
      </c>
    </row>
    <row r="71">
      <c r="A71" s="26">
        <v>43978.0</v>
      </c>
      <c r="B71" s="27">
        <v>9104.959</v>
      </c>
      <c r="C71" s="28">
        <v>9176.042</v>
      </c>
      <c r="D71" s="29">
        <v>262.9152</v>
      </c>
      <c r="E71" s="9">
        <v>0.0287</v>
      </c>
    </row>
    <row r="72">
      <c r="A72" s="26">
        <v>43979.0</v>
      </c>
      <c r="B72" s="27">
        <v>9310.164</v>
      </c>
      <c r="C72" s="28">
        <v>9150.829</v>
      </c>
      <c r="D72" s="29">
        <v>439.2525</v>
      </c>
      <c r="E72" s="9">
        <v>0.048</v>
      </c>
    </row>
    <row r="73">
      <c r="A73" s="26">
        <v>43980.0</v>
      </c>
      <c r="B73" s="27">
        <v>9362.831</v>
      </c>
      <c r="C73" s="28">
        <v>9196.027</v>
      </c>
      <c r="D73" s="29">
        <v>488.9517</v>
      </c>
      <c r="E73" s="9">
        <v>0.0532</v>
      </c>
    </row>
    <row r="74">
      <c r="A74" s="26">
        <v>43983.0</v>
      </c>
      <c r="B74" s="27">
        <v>9380.104</v>
      </c>
      <c r="C74" s="28">
        <v>9217.997</v>
      </c>
      <c r="D74" s="29">
        <v>510.9543</v>
      </c>
      <c r="E74" s="9">
        <v>0.0554</v>
      </c>
    </row>
    <row r="75">
      <c r="A75" s="26">
        <v>43984.0</v>
      </c>
      <c r="B75" s="27">
        <v>9411.148</v>
      </c>
      <c r="C75" s="28">
        <v>9287.284</v>
      </c>
      <c r="D75" s="29">
        <v>477.4224</v>
      </c>
      <c r="E75" s="9">
        <v>0.0514</v>
      </c>
    </row>
    <row r="76">
      <c r="A76" s="26">
        <v>43985.0</v>
      </c>
      <c r="B76" s="27">
        <v>9459.832</v>
      </c>
      <c r="C76" s="28">
        <v>9385.952</v>
      </c>
      <c r="D76" s="29">
        <v>447.8843</v>
      </c>
      <c r="E76" s="9">
        <v>0.0477</v>
      </c>
    </row>
    <row r="77">
      <c r="A77" s="26">
        <v>43986.0</v>
      </c>
      <c r="B77" s="27">
        <v>9371.616</v>
      </c>
      <c r="C77" s="28">
        <v>9351.209</v>
      </c>
      <c r="D77" s="29">
        <v>371.8721</v>
      </c>
      <c r="E77" s="9">
        <v>0.0398</v>
      </c>
    </row>
    <row r="78">
      <c r="A78" s="26">
        <v>43987.0</v>
      </c>
      <c r="B78" s="27">
        <v>9424.496</v>
      </c>
      <c r="C78" s="28">
        <v>9584.48</v>
      </c>
      <c r="D78" s="29">
        <v>248.0741</v>
      </c>
      <c r="E78" s="9">
        <v>0.0259</v>
      </c>
    </row>
    <row r="79">
      <c r="A79" s="26">
        <v>43990.0</v>
      </c>
      <c r="B79" s="27">
        <v>9497.81</v>
      </c>
      <c r="C79" s="28">
        <v>9692.016</v>
      </c>
      <c r="D79" s="29">
        <v>291.1787</v>
      </c>
      <c r="E79" s="9">
        <v>0.03</v>
      </c>
    </row>
    <row r="80">
      <c r="A80" s="26">
        <v>43991.0</v>
      </c>
      <c r="B80" s="27">
        <v>9432.8</v>
      </c>
      <c r="C80" s="28">
        <v>9667.002</v>
      </c>
      <c r="D80" s="29">
        <v>310.4243</v>
      </c>
      <c r="E80" s="9">
        <v>0.0321</v>
      </c>
    </row>
    <row r="81">
      <c r="A81" s="26">
        <v>43992.0</v>
      </c>
      <c r="B81" s="27">
        <v>9430.112</v>
      </c>
      <c r="C81" s="28">
        <v>9660.252</v>
      </c>
      <c r="D81" s="29">
        <v>329.5865</v>
      </c>
      <c r="E81" s="9">
        <v>0.0341</v>
      </c>
    </row>
    <row r="82">
      <c r="A82" s="26">
        <v>43993.0</v>
      </c>
      <c r="B82" s="27">
        <v>9092.252</v>
      </c>
      <c r="C82" s="28">
        <v>9111.057</v>
      </c>
      <c r="D82" s="29">
        <v>430.8588</v>
      </c>
      <c r="E82" s="9">
        <v>0.0473</v>
      </c>
    </row>
    <row r="83">
      <c r="A83" s="26">
        <v>43994.0</v>
      </c>
      <c r="B83" s="27">
        <v>9042.075</v>
      </c>
      <c r="C83" s="28">
        <v>9220.049</v>
      </c>
      <c r="D83" s="29">
        <v>311.7847</v>
      </c>
      <c r="E83" s="9">
        <v>0.0338</v>
      </c>
    </row>
    <row r="84">
      <c r="A84" s="26">
        <v>43997.0</v>
      </c>
      <c r="B84" s="27">
        <v>9034.748</v>
      </c>
      <c r="C84" s="28">
        <v>9285.166</v>
      </c>
      <c r="D84" s="29">
        <v>276.1484</v>
      </c>
      <c r="E84" s="9">
        <v>0.0297</v>
      </c>
    </row>
    <row r="85">
      <c r="A85" s="26">
        <v>43998.0</v>
      </c>
      <c r="B85" s="27">
        <v>9284.757</v>
      </c>
      <c r="C85" s="28">
        <v>9463.841</v>
      </c>
      <c r="D85" s="29">
        <v>402.6711</v>
      </c>
      <c r="E85" s="9">
        <v>0.0425</v>
      </c>
    </row>
    <row r="86">
      <c r="A86" s="26">
        <v>43999.0</v>
      </c>
      <c r="B86" s="27">
        <v>9228.134</v>
      </c>
      <c r="C86" s="28">
        <v>9437.636</v>
      </c>
      <c r="D86" s="29">
        <v>411.7116</v>
      </c>
      <c r="E86" s="9">
        <v>0.0436</v>
      </c>
    </row>
    <row r="87">
      <c r="A87" s="26">
        <v>44000.0</v>
      </c>
      <c r="B87" s="27">
        <v>9236.559</v>
      </c>
      <c r="C87" s="28">
        <v>9448.489</v>
      </c>
      <c r="D87" s="29">
        <v>407.7127</v>
      </c>
      <c r="E87" s="9">
        <v>0.0432</v>
      </c>
    </row>
    <row r="88">
      <c r="A88" s="26">
        <v>44001.0</v>
      </c>
      <c r="B88" s="27">
        <v>9153.391</v>
      </c>
      <c r="C88" s="28">
        <v>9410.504</v>
      </c>
      <c r="D88" s="29">
        <v>317.7872</v>
      </c>
      <c r="E88" s="9">
        <v>0.0338</v>
      </c>
    </row>
    <row r="89">
      <c r="A89" s="26">
        <v>44004.0</v>
      </c>
      <c r="B89" s="27">
        <v>9215.46</v>
      </c>
      <c r="C89" s="28">
        <v>9487.929</v>
      </c>
      <c r="D89" s="29">
        <v>350.7104</v>
      </c>
      <c r="E89" s="9">
        <v>0.037</v>
      </c>
    </row>
    <row r="90">
      <c r="A90" s="26">
        <v>44005.0</v>
      </c>
      <c r="B90" s="27">
        <v>9149.826</v>
      </c>
      <c r="C90" s="28">
        <v>9548.017</v>
      </c>
      <c r="D90" s="29">
        <v>262.9716</v>
      </c>
      <c r="E90" s="9">
        <v>0.0275</v>
      </c>
    </row>
    <row r="91">
      <c r="A91" s="26">
        <v>44006.0</v>
      </c>
      <c r="B91" s="27">
        <v>9038.239</v>
      </c>
      <c r="C91" s="28">
        <v>9323.151</v>
      </c>
      <c r="D91" s="29">
        <v>356.529</v>
      </c>
      <c r="E91" s="9">
        <v>0.0382</v>
      </c>
    </row>
    <row r="92">
      <c r="A92" s="26">
        <v>44007.0</v>
      </c>
      <c r="B92" s="27">
        <v>9065.281</v>
      </c>
      <c r="C92" s="28">
        <v>9429.827</v>
      </c>
      <c r="D92" s="29">
        <v>286.8913</v>
      </c>
      <c r="E92" s="9">
        <v>0.0304</v>
      </c>
    </row>
    <row r="93">
      <c r="A93" s="26">
        <v>44008.0</v>
      </c>
      <c r="B93" s="27">
        <v>8950.257</v>
      </c>
      <c r="C93" s="28">
        <v>9172.336</v>
      </c>
      <c r="D93" s="29">
        <v>408.9545</v>
      </c>
      <c r="E93" s="9">
        <v>0.0446</v>
      </c>
    </row>
    <row r="94">
      <c r="A94" s="26">
        <v>44011.0</v>
      </c>
      <c r="B94" s="27">
        <v>9045.804</v>
      </c>
      <c r="C94" s="28">
        <v>9303.364</v>
      </c>
      <c r="D94" s="29">
        <v>335.5203</v>
      </c>
      <c r="E94" s="9">
        <v>0.0361</v>
      </c>
    </row>
    <row r="95">
      <c r="A95" s="26">
        <v>44012.0</v>
      </c>
      <c r="B95" s="27">
        <v>9118.7</v>
      </c>
      <c r="C95" s="28">
        <v>9444.849</v>
      </c>
      <c r="D95" s="29">
        <v>336.0507</v>
      </c>
      <c r="E95" s="9">
        <v>0.0356</v>
      </c>
    </row>
    <row r="96">
      <c r="A96" s="26">
        <v>44013.0</v>
      </c>
      <c r="B96" s="27">
        <v>9189.386</v>
      </c>
      <c r="C96" s="28">
        <v>9510.959</v>
      </c>
      <c r="D96" s="29">
        <v>419.8885</v>
      </c>
      <c r="E96" s="9">
        <v>0.0441</v>
      </c>
    </row>
    <row r="97">
      <c r="A97" s="26">
        <v>44014.0</v>
      </c>
      <c r="B97" s="27">
        <v>9202.495</v>
      </c>
      <c r="C97" s="28">
        <v>9548.877</v>
      </c>
      <c r="D97" s="29">
        <v>391.8579</v>
      </c>
      <c r="E97" s="9">
        <v>0.041</v>
      </c>
    </row>
    <row r="98">
      <c r="A98" s="26">
        <v>44018.0</v>
      </c>
      <c r="B98" s="27">
        <v>9267.005</v>
      </c>
      <c r="C98" s="28">
        <v>9732.053</v>
      </c>
      <c r="D98" s="29">
        <v>433.6209</v>
      </c>
      <c r="E98" s="9">
        <v>0.0446</v>
      </c>
    </row>
    <row r="99">
      <c r="A99" s="26">
        <v>44019.0</v>
      </c>
      <c r="B99" s="27">
        <v>9392.919</v>
      </c>
      <c r="C99" s="28">
        <v>9638.679</v>
      </c>
      <c r="D99" s="29">
        <v>430.874</v>
      </c>
      <c r="E99" s="9">
        <v>0.0447</v>
      </c>
    </row>
    <row r="100">
      <c r="A100" s="26">
        <v>44020.0</v>
      </c>
      <c r="B100" s="27">
        <v>9415.219</v>
      </c>
      <c r="C100" s="28">
        <v>9735.494</v>
      </c>
      <c r="D100" s="29">
        <v>484.1616</v>
      </c>
      <c r="E100" s="9">
        <v>0.0497</v>
      </c>
    </row>
    <row r="101">
      <c r="A101" s="26">
        <v>44021.0</v>
      </c>
      <c r="B101" s="27">
        <v>9414.527</v>
      </c>
      <c r="C101" s="28">
        <v>9701.679</v>
      </c>
      <c r="D101" s="29">
        <v>501.1821</v>
      </c>
      <c r="E101" s="9">
        <v>0.0517</v>
      </c>
    </row>
    <row r="102">
      <c r="A102" s="26">
        <v>44022.0</v>
      </c>
      <c r="B102" s="27">
        <v>9538.513</v>
      </c>
      <c r="C102" s="28">
        <v>9807.03</v>
      </c>
      <c r="D102" s="29">
        <v>471.3891</v>
      </c>
      <c r="E102" s="9">
        <v>0.0481</v>
      </c>
    </row>
    <row r="103">
      <c r="A103" s="26">
        <v>44025.0</v>
      </c>
      <c r="B103" s="27">
        <v>9484.9</v>
      </c>
      <c r="C103" s="28">
        <v>9705.649</v>
      </c>
      <c r="D103" s="29">
        <v>469.7289</v>
      </c>
      <c r="E103" s="9">
        <v>0.0484</v>
      </c>
    </row>
    <row r="104">
      <c r="A104" s="26">
        <v>44026.0</v>
      </c>
      <c r="B104" s="27">
        <v>9631.038</v>
      </c>
      <c r="C104" s="28">
        <v>9819.207</v>
      </c>
      <c r="D104" s="29">
        <v>486.1869</v>
      </c>
      <c r="E104" s="9">
        <v>0.0495</v>
      </c>
    </row>
    <row r="105">
      <c r="A105" s="26">
        <v>44027.0</v>
      </c>
      <c r="B105" s="27">
        <v>9620.849</v>
      </c>
      <c r="C105" s="28">
        <v>9862.552</v>
      </c>
      <c r="D105" s="29">
        <v>358.5543</v>
      </c>
      <c r="E105" s="9">
        <v>0.0364</v>
      </c>
    </row>
    <row r="106">
      <c r="A106" s="26">
        <v>44028.0</v>
      </c>
      <c r="B106" s="27">
        <v>9684.131</v>
      </c>
      <c r="C106" s="28">
        <v>9822.847</v>
      </c>
      <c r="D106" s="29">
        <v>464.8949</v>
      </c>
      <c r="E106" s="9">
        <v>0.0473</v>
      </c>
    </row>
    <row r="107">
      <c r="A107" s="26">
        <v>44029.0</v>
      </c>
      <c r="B107" s="27">
        <v>9759.305</v>
      </c>
      <c r="C107" s="28">
        <v>9825.229</v>
      </c>
      <c r="D107" s="29">
        <v>519.6429</v>
      </c>
      <c r="E107" s="9">
        <v>0.0529</v>
      </c>
    </row>
    <row r="108">
      <c r="A108" s="26">
        <v>44032.0</v>
      </c>
      <c r="B108" s="27">
        <v>9738.815</v>
      </c>
      <c r="C108" s="28">
        <v>9953.611</v>
      </c>
      <c r="D108" s="29">
        <v>584.5552</v>
      </c>
      <c r="E108" s="9">
        <v>0.0587</v>
      </c>
    </row>
    <row r="109">
      <c r="A109" s="26">
        <v>44033.0</v>
      </c>
      <c r="B109" s="27">
        <v>9784.82</v>
      </c>
      <c r="C109" s="28">
        <v>9946.0</v>
      </c>
      <c r="D109" s="29">
        <v>563.814</v>
      </c>
      <c r="E109" s="9">
        <v>0.0567</v>
      </c>
    </row>
    <row r="110">
      <c r="A110" s="26">
        <v>44034.0</v>
      </c>
      <c r="B110" s="27">
        <v>9862.205</v>
      </c>
      <c r="C110" s="28">
        <v>9988.817</v>
      </c>
      <c r="D110" s="29">
        <v>587.2731</v>
      </c>
      <c r="E110" s="9">
        <v>0.0588</v>
      </c>
    </row>
    <row r="111">
      <c r="A111" s="26">
        <v>44035.0</v>
      </c>
      <c r="B111" s="27">
        <v>9802.148</v>
      </c>
      <c r="C111" s="28">
        <v>9818.479</v>
      </c>
      <c r="D111" s="29">
        <v>601.0978</v>
      </c>
      <c r="E111" s="9">
        <v>0.0612</v>
      </c>
    </row>
    <row r="112">
      <c r="A112" s="26">
        <v>44036.0</v>
      </c>
      <c r="B112" s="27">
        <v>9753.128</v>
      </c>
      <c r="C112" s="28">
        <v>9755.148</v>
      </c>
      <c r="D112" s="29">
        <v>543.5153</v>
      </c>
      <c r="E112" s="9">
        <v>0.0557</v>
      </c>
    </row>
    <row r="113">
      <c r="A113" s="26">
        <v>44039.0</v>
      </c>
      <c r="B113" s="27">
        <v>9759.735</v>
      </c>
      <c r="C113" s="28">
        <v>9834.427</v>
      </c>
      <c r="D113" s="29">
        <v>486.3676</v>
      </c>
      <c r="E113" s="9">
        <v>0.0495</v>
      </c>
    </row>
    <row r="114">
      <c r="A114" s="26">
        <v>44040.0</v>
      </c>
      <c r="B114" s="27">
        <v>9828.891</v>
      </c>
      <c r="C114" s="28">
        <v>9774.869</v>
      </c>
      <c r="D114" s="29">
        <v>525.7781</v>
      </c>
      <c r="E114" s="9">
        <v>0.0538</v>
      </c>
    </row>
    <row r="115">
      <c r="A115" s="26">
        <v>44041.0</v>
      </c>
      <c r="B115" s="27">
        <v>9806.149</v>
      </c>
      <c r="C115" s="28">
        <v>9870.957</v>
      </c>
      <c r="D115" s="29">
        <v>462.8411</v>
      </c>
      <c r="E115" s="9">
        <v>0.0469</v>
      </c>
    </row>
    <row r="116">
      <c r="A116" s="26">
        <v>44042.0</v>
      </c>
      <c r="B116" s="27">
        <v>9732.073</v>
      </c>
      <c r="C116" s="28">
        <v>9846.141</v>
      </c>
      <c r="D116" s="29">
        <v>394.1325</v>
      </c>
      <c r="E116" s="9">
        <v>0.04</v>
      </c>
    </row>
    <row r="117">
      <c r="A117" s="26">
        <v>44043.0</v>
      </c>
      <c r="B117" s="27">
        <v>9683.062</v>
      </c>
      <c r="C117" s="28">
        <v>9959.037</v>
      </c>
      <c r="D117" s="29">
        <v>297.8012</v>
      </c>
      <c r="E117" s="9">
        <v>0.0299</v>
      </c>
    </row>
    <row r="118">
      <c r="A118" s="26">
        <v>44046.0</v>
      </c>
      <c r="B118" s="27">
        <v>9692.886</v>
      </c>
      <c r="C118" s="28">
        <v>10055.06</v>
      </c>
      <c r="D118" s="29">
        <v>161.7251</v>
      </c>
      <c r="E118" s="9">
        <v>0.0161</v>
      </c>
    </row>
    <row r="119">
      <c r="A119" s="26">
        <v>44047.0</v>
      </c>
      <c r="B119" s="27">
        <v>9854.273</v>
      </c>
      <c r="C119" s="28">
        <v>10087.62</v>
      </c>
      <c r="D119" s="29">
        <v>282.9012</v>
      </c>
      <c r="E119" s="9">
        <v>0.028</v>
      </c>
    </row>
    <row r="120">
      <c r="A120" s="26">
        <v>44048.0</v>
      </c>
      <c r="B120" s="27">
        <v>9803.999</v>
      </c>
      <c r="C120" s="28">
        <v>10160.81</v>
      </c>
      <c r="D120" s="29">
        <v>240.029</v>
      </c>
      <c r="E120" s="9">
        <v>0.0236</v>
      </c>
    </row>
    <row r="121">
      <c r="A121" s="26">
        <v>44049.0</v>
      </c>
      <c r="B121" s="27">
        <v>9805.574</v>
      </c>
      <c r="C121" s="28">
        <v>10265.3</v>
      </c>
      <c r="D121" s="29">
        <v>177.5405</v>
      </c>
      <c r="E121" s="9">
        <v>0.0173</v>
      </c>
    </row>
    <row r="122">
      <c r="A122" s="26">
        <v>44050.0</v>
      </c>
      <c r="B122" s="27">
        <v>9859.042</v>
      </c>
      <c r="C122" s="28">
        <v>10243.4</v>
      </c>
      <c r="D122" s="29">
        <v>218.4697</v>
      </c>
      <c r="E122" s="9">
        <v>0.0213</v>
      </c>
    </row>
    <row r="123">
      <c r="A123" s="26">
        <v>44053.0</v>
      </c>
      <c r="B123" s="27">
        <v>9865.448</v>
      </c>
      <c r="C123" s="28">
        <v>10261.86</v>
      </c>
      <c r="D123" s="29">
        <v>182.0178</v>
      </c>
      <c r="E123" s="9">
        <v>0.0177</v>
      </c>
    </row>
    <row r="124">
      <c r="A124" s="26">
        <v>44054.0</v>
      </c>
      <c r="B124" s="27">
        <v>9733.451</v>
      </c>
      <c r="C124" s="28">
        <v>10164.65</v>
      </c>
      <c r="D124" s="29">
        <v>126.3451</v>
      </c>
      <c r="E124" s="9">
        <v>0.0124</v>
      </c>
    </row>
    <row r="125">
      <c r="A125" s="26">
        <v>44055.0</v>
      </c>
      <c r="B125" s="27">
        <v>9883.808</v>
      </c>
      <c r="C125" s="28">
        <v>10327.37</v>
      </c>
      <c r="D125" s="29">
        <v>146.594</v>
      </c>
      <c r="E125" s="9">
        <v>0.0142</v>
      </c>
    </row>
    <row r="126">
      <c r="A126" s="26">
        <v>44056.0</v>
      </c>
      <c r="B126" s="27">
        <v>9886.065</v>
      </c>
      <c r="C126" s="28">
        <v>10309.11</v>
      </c>
      <c r="D126" s="29">
        <v>146.7637</v>
      </c>
      <c r="E126" s="9">
        <v>0.0142</v>
      </c>
    </row>
    <row r="127">
      <c r="A127" s="26">
        <v>44057.0</v>
      </c>
      <c r="B127" s="27">
        <v>9852.866</v>
      </c>
      <c r="C127" s="28">
        <v>10305.54</v>
      </c>
      <c r="D127" s="29">
        <v>103.3086</v>
      </c>
      <c r="E127" s="9">
        <v>0.01</v>
      </c>
    </row>
    <row r="128">
      <c r="A128" s="26">
        <v>44060.0</v>
      </c>
      <c r="B128" s="27">
        <v>9947.418</v>
      </c>
      <c r="C128" s="28">
        <v>10331.94</v>
      </c>
      <c r="D128" s="29">
        <v>143.625</v>
      </c>
      <c r="E128" s="9">
        <v>0.0139</v>
      </c>
    </row>
    <row r="129">
      <c r="A129" s="26">
        <v>44061.0</v>
      </c>
      <c r="B129" s="27">
        <v>9945.423</v>
      </c>
      <c r="C129" s="28">
        <v>10386.0</v>
      </c>
      <c r="D129" s="29">
        <v>201.2437</v>
      </c>
      <c r="E129" s="9">
        <v>0.0194</v>
      </c>
    </row>
    <row r="130">
      <c r="A130" s="26">
        <v>44062.0</v>
      </c>
      <c r="B130" s="27">
        <v>9888.412</v>
      </c>
      <c r="C130" s="28">
        <v>10343.52</v>
      </c>
      <c r="D130" s="29">
        <v>177.9068</v>
      </c>
      <c r="E130" s="9">
        <v>0.0172</v>
      </c>
    </row>
    <row r="131">
      <c r="A131" s="26">
        <v>44063.0</v>
      </c>
      <c r="B131" s="27">
        <v>9836.433</v>
      </c>
      <c r="C131" s="28">
        <v>10414.33</v>
      </c>
      <c r="D131" s="29">
        <v>106.8746</v>
      </c>
      <c r="E131" s="9">
        <v>0.0103</v>
      </c>
    </row>
    <row r="132">
      <c r="A132" s="26">
        <v>44064.0</v>
      </c>
      <c r="B132" s="27">
        <v>9858.414</v>
      </c>
      <c r="C132" s="28">
        <v>10470.12</v>
      </c>
      <c r="D132" s="29">
        <v>39.06558</v>
      </c>
      <c r="E132" s="9">
        <v>0.0037</v>
      </c>
    </row>
    <row r="133">
      <c r="A133" s="26">
        <v>44067.0</v>
      </c>
      <c r="B133" s="27">
        <v>9889.362</v>
      </c>
      <c r="C133" s="28">
        <v>10574.21</v>
      </c>
      <c r="D133" s="29">
        <v>-35.4833</v>
      </c>
      <c r="E133" s="9">
        <v>-0.0034</v>
      </c>
    </row>
    <row r="134">
      <c r="A134" s="26">
        <v>44068.0</v>
      </c>
      <c r="B134" s="27">
        <v>9869.393</v>
      </c>
      <c r="C134" s="28">
        <v>10620.47</v>
      </c>
      <c r="D134" s="29">
        <v>-56.5641</v>
      </c>
      <c r="E134" s="9">
        <v>-0.0053</v>
      </c>
    </row>
    <row r="135">
      <c r="A135" s="26">
        <v>44069.0</v>
      </c>
      <c r="B135" s="27">
        <v>9836.331</v>
      </c>
      <c r="C135" s="28">
        <v>10781.94</v>
      </c>
      <c r="D135" s="29">
        <v>-175.779</v>
      </c>
      <c r="E135" s="9">
        <v>-0.0163</v>
      </c>
    </row>
    <row r="136">
      <c r="A136" s="26">
        <v>44070.0</v>
      </c>
      <c r="B136" s="27">
        <v>9947.026</v>
      </c>
      <c r="C136" s="28">
        <v>10789.75</v>
      </c>
      <c r="D136" s="29">
        <v>-207.751</v>
      </c>
      <c r="E136" s="9">
        <v>-0.0193</v>
      </c>
    </row>
    <row r="137">
      <c r="A137" s="26">
        <v>44071.0</v>
      </c>
      <c r="B137" s="27">
        <v>10036.08</v>
      </c>
      <c r="C137" s="28">
        <v>10858.04</v>
      </c>
      <c r="D137" s="29">
        <v>-243.858</v>
      </c>
      <c r="E137" s="9">
        <v>-0.0225</v>
      </c>
    </row>
    <row r="138">
      <c r="A138" s="26">
        <v>44074.0</v>
      </c>
      <c r="B138" s="27">
        <v>10001.56</v>
      </c>
      <c r="C138" s="28">
        <v>10845.86</v>
      </c>
      <c r="D138" s="29">
        <v>-188.792</v>
      </c>
      <c r="E138" s="9">
        <v>-0.0174</v>
      </c>
    </row>
    <row r="139">
      <c r="A139" s="26">
        <v>44075.0</v>
      </c>
      <c r="B139" s="27">
        <v>10092.45</v>
      </c>
      <c r="C139" s="28">
        <v>10943.34</v>
      </c>
      <c r="D139" s="29">
        <v>-289.768</v>
      </c>
      <c r="E139" s="9">
        <v>-0.0265</v>
      </c>
    </row>
    <row r="140">
      <c r="A140" s="26">
        <v>44076.0</v>
      </c>
      <c r="B140" s="27">
        <v>10321.41</v>
      </c>
      <c r="C140" s="28">
        <v>11088.93</v>
      </c>
      <c r="D140" s="29">
        <v>-214.723</v>
      </c>
      <c r="E140" s="9">
        <v>-0.0194</v>
      </c>
    </row>
    <row r="141">
      <c r="A141" s="26">
        <v>44077.0</v>
      </c>
      <c r="B141" s="27">
        <v>10125.86</v>
      </c>
      <c r="C141" s="28">
        <v>10663.68</v>
      </c>
      <c r="D141" s="29">
        <v>-41.227</v>
      </c>
      <c r="E141" s="9">
        <v>-0.0039</v>
      </c>
    </row>
    <row r="142">
      <c r="A142" s="26">
        <v>44078.0</v>
      </c>
      <c r="B142" s="27">
        <v>10090.11</v>
      </c>
      <c r="C142" s="28">
        <v>10562.36</v>
      </c>
      <c r="D142" s="29">
        <v>-37.3307</v>
      </c>
      <c r="E142" s="9">
        <v>-0.0035</v>
      </c>
    </row>
    <row r="143">
      <c r="A143" s="26">
        <v>44082.0</v>
      </c>
      <c r="B143" s="27">
        <v>9944.72</v>
      </c>
      <c r="C143" s="28">
        <v>10236.78</v>
      </c>
      <c r="D143" s="29">
        <v>162.268</v>
      </c>
      <c r="E143" s="9">
        <v>0.0159</v>
      </c>
    </row>
    <row r="144">
      <c r="A144" s="26">
        <v>44083.0</v>
      </c>
      <c r="B144" s="27">
        <v>10080.14</v>
      </c>
      <c r="C144" s="28">
        <v>10461.58</v>
      </c>
      <c r="D144" s="29">
        <v>129.0136</v>
      </c>
      <c r="E144" s="9">
        <v>0.0123</v>
      </c>
    </row>
    <row r="145">
      <c r="A145" s="26">
        <v>44084.0</v>
      </c>
      <c r="B145" s="27">
        <v>9875.034</v>
      </c>
      <c r="C145" s="28">
        <v>10264.11</v>
      </c>
      <c r="D145" s="29">
        <v>104.7461</v>
      </c>
      <c r="E145" s="9">
        <v>0.0102</v>
      </c>
    </row>
    <row r="146">
      <c r="A146" s="26">
        <v>44085.0</v>
      </c>
      <c r="B146" s="27">
        <v>9934.028</v>
      </c>
      <c r="C146" s="28">
        <v>10256.76</v>
      </c>
      <c r="D146" s="29">
        <v>103.3955</v>
      </c>
      <c r="E146" s="9">
        <v>0.0101</v>
      </c>
    </row>
    <row r="147">
      <c r="A147" s="26">
        <v>44088.0</v>
      </c>
      <c r="B147" s="27">
        <v>10022.14</v>
      </c>
      <c r="C147" s="28">
        <v>10370.19</v>
      </c>
      <c r="D147" s="29">
        <v>81.89085</v>
      </c>
      <c r="E147" s="9">
        <v>0.0079</v>
      </c>
    </row>
    <row r="148">
      <c r="A148" s="26">
        <v>44089.0</v>
      </c>
      <c r="B148" s="27">
        <v>10126.33</v>
      </c>
      <c r="C148" s="28">
        <v>10435.37</v>
      </c>
      <c r="D148" s="29">
        <v>180.5806</v>
      </c>
      <c r="E148" s="9">
        <v>0.0173</v>
      </c>
    </row>
    <row r="149">
      <c r="A149" s="26">
        <v>44090.0</v>
      </c>
      <c r="B149" s="27">
        <v>10040.0</v>
      </c>
      <c r="C149" s="28">
        <v>10349.15</v>
      </c>
      <c r="D149" s="29">
        <v>145.939</v>
      </c>
      <c r="E149" s="9">
        <v>0.0141</v>
      </c>
    </row>
    <row r="150">
      <c r="A150" s="26">
        <v>44091.0</v>
      </c>
      <c r="B150" s="27">
        <v>10029.02</v>
      </c>
      <c r="C150" s="28">
        <v>10247.56</v>
      </c>
      <c r="D150" s="29">
        <v>186.3249</v>
      </c>
      <c r="E150" s="9">
        <v>0.0182</v>
      </c>
    </row>
    <row r="151">
      <c r="A151" s="26">
        <v>44092.0</v>
      </c>
      <c r="B151" s="27">
        <v>9975.931</v>
      </c>
      <c r="C151" s="28">
        <v>10128.78</v>
      </c>
      <c r="D151" s="29">
        <v>230.1842</v>
      </c>
      <c r="E151" s="9">
        <v>0.0227</v>
      </c>
    </row>
    <row r="152">
      <c r="A152" s="26">
        <v>44095.0</v>
      </c>
      <c r="B152" s="27">
        <v>9938.998</v>
      </c>
      <c r="C152" s="28">
        <v>10054.79</v>
      </c>
      <c r="D152" s="29">
        <v>220.158</v>
      </c>
      <c r="E152" s="9">
        <v>0.0219</v>
      </c>
    </row>
    <row r="153">
      <c r="A153" s="26">
        <v>44096.0</v>
      </c>
      <c r="B153" s="27">
        <v>9997.521</v>
      </c>
      <c r="C153" s="28">
        <v>10181.06</v>
      </c>
      <c r="D153" s="29">
        <v>219.872</v>
      </c>
      <c r="E153" s="9">
        <v>0.0216</v>
      </c>
    </row>
    <row r="154">
      <c r="A154" s="26">
        <v>44097.0</v>
      </c>
      <c r="B154" s="27">
        <v>9886.1</v>
      </c>
      <c r="C154" s="28">
        <v>9924.36</v>
      </c>
      <c r="D154" s="29">
        <v>297.31</v>
      </c>
      <c r="E154" s="9">
        <v>0.03</v>
      </c>
    </row>
    <row r="155">
      <c r="A155" s="26">
        <v>44098.0</v>
      </c>
      <c r="B155" s="27">
        <v>9954.07</v>
      </c>
      <c r="C155" s="28">
        <v>9956.191</v>
      </c>
      <c r="D155" s="29">
        <v>324.6081</v>
      </c>
      <c r="E155" s="9">
        <v>0.0326</v>
      </c>
    </row>
    <row r="156">
      <c r="A156" s="26">
        <v>44099.0</v>
      </c>
      <c r="B156" s="27">
        <v>9994.566</v>
      </c>
      <c r="C156" s="28">
        <v>10118.32</v>
      </c>
      <c r="D156" s="29">
        <v>336.2411</v>
      </c>
      <c r="E156" s="9">
        <v>0.0332</v>
      </c>
    </row>
    <row r="157">
      <c r="A157" s="26">
        <v>44102.0</v>
      </c>
      <c r="B157" s="27">
        <v>10035.01</v>
      </c>
      <c r="C157" s="28">
        <v>10277.21</v>
      </c>
      <c r="D157" s="29">
        <v>262.9034</v>
      </c>
      <c r="E157" s="9">
        <v>0.0256</v>
      </c>
    </row>
    <row r="158">
      <c r="A158" s="26">
        <v>44103.0</v>
      </c>
      <c r="B158" s="27">
        <v>10006.87</v>
      </c>
      <c r="C158" s="28">
        <v>10228.97</v>
      </c>
      <c r="D158" s="29">
        <v>246.5973</v>
      </c>
      <c r="E158" s="9">
        <v>0.0241</v>
      </c>
    </row>
    <row r="159">
      <c r="A159" s="26">
        <v>44104.0</v>
      </c>
      <c r="B159" s="27">
        <v>10079.06</v>
      </c>
      <c r="C159" s="28">
        <v>10327.31</v>
      </c>
      <c r="D159" s="29">
        <v>181.4254</v>
      </c>
      <c r="E159" s="9">
        <v>0.0176</v>
      </c>
    </row>
    <row r="160">
      <c r="A160" s="26">
        <v>44105.0</v>
      </c>
      <c r="B160" s="27">
        <v>10133.96</v>
      </c>
      <c r="C160" s="28">
        <v>10388.85</v>
      </c>
      <c r="D160" s="29">
        <v>188.1226</v>
      </c>
      <c r="E160" s="9">
        <v>0.0181</v>
      </c>
    </row>
    <row r="161">
      <c r="A161" s="26">
        <v>44106.0</v>
      </c>
      <c r="B161" s="27">
        <v>10109.22</v>
      </c>
      <c r="C161" s="28">
        <v>10237.97</v>
      </c>
      <c r="D161" s="29">
        <v>313.9468</v>
      </c>
      <c r="E161" s="9">
        <v>0.0307</v>
      </c>
    </row>
    <row r="162">
      <c r="A162" s="26">
        <v>44109.0</v>
      </c>
      <c r="B162" s="27">
        <v>10225.84</v>
      </c>
      <c r="C162" s="28">
        <v>10426.37</v>
      </c>
      <c r="D162" s="29">
        <v>318.3499</v>
      </c>
      <c r="E162" s="9">
        <v>0.0305</v>
      </c>
    </row>
    <row r="163">
      <c r="A163" s="26">
        <v>44110.0</v>
      </c>
      <c r="B163" s="27">
        <v>10194.66</v>
      </c>
      <c r="C163" s="28">
        <v>10258.29</v>
      </c>
      <c r="D163" s="29">
        <v>380.5109</v>
      </c>
      <c r="E163" s="9">
        <v>0.0371</v>
      </c>
    </row>
    <row r="164">
      <c r="A164" s="26">
        <v>44111.0</v>
      </c>
      <c r="B164" s="27">
        <v>10318.58</v>
      </c>
      <c r="C164" s="28">
        <v>10441.26</v>
      </c>
      <c r="D164" s="29">
        <v>427.3203</v>
      </c>
      <c r="E164" s="9">
        <v>0.0409</v>
      </c>
    </row>
    <row r="165">
      <c r="A165" s="26">
        <v>44112.0</v>
      </c>
      <c r="B165" s="27">
        <v>10440.91</v>
      </c>
      <c r="C165" s="28">
        <v>10506.97</v>
      </c>
      <c r="D165" s="29">
        <v>456.9871</v>
      </c>
      <c r="E165" s="9">
        <v>0.0435</v>
      </c>
    </row>
    <row r="166">
      <c r="A166" s="26">
        <v>44113.0</v>
      </c>
      <c r="B166" s="27">
        <v>10530.57</v>
      </c>
      <c r="C166" s="28">
        <v>10619.67</v>
      </c>
      <c r="D166" s="29">
        <v>473.4633</v>
      </c>
      <c r="E166" s="9">
        <v>0.0446</v>
      </c>
    </row>
    <row r="167">
      <c r="A167" s="26">
        <v>44116.0</v>
      </c>
      <c r="B167" s="27">
        <v>10597.8</v>
      </c>
      <c r="C167" s="28">
        <v>10836.66</v>
      </c>
      <c r="D167" s="29">
        <v>403.269</v>
      </c>
      <c r="E167" s="9">
        <v>0.0372</v>
      </c>
    </row>
    <row r="168">
      <c r="A168" s="26">
        <v>44117.0</v>
      </c>
      <c r="B168" s="27">
        <v>10559.73</v>
      </c>
      <c r="C168" s="28">
        <v>10776.77</v>
      </c>
      <c r="D168" s="29">
        <v>386.8543</v>
      </c>
      <c r="E168" s="9">
        <v>0.0359</v>
      </c>
    </row>
    <row r="169">
      <c r="A169" s="26">
        <v>44118.0</v>
      </c>
      <c r="B169" s="27">
        <v>10487.0</v>
      </c>
      <c r="C169" s="28">
        <v>10689.55</v>
      </c>
      <c r="D169" s="29">
        <v>352.2159</v>
      </c>
      <c r="E169" s="9">
        <v>0.0329</v>
      </c>
    </row>
    <row r="170">
      <c r="A170" s="26">
        <v>44119.0</v>
      </c>
      <c r="B170" s="27">
        <v>10443.2</v>
      </c>
      <c r="C170" s="28">
        <v>10659.38</v>
      </c>
      <c r="D170" s="29">
        <v>356.111</v>
      </c>
      <c r="E170" s="9">
        <v>0.0334</v>
      </c>
    </row>
    <row r="171">
      <c r="A171" s="26">
        <v>44120.0</v>
      </c>
      <c r="B171" s="27">
        <v>10524.97</v>
      </c>
      <c r="C171" s="28">
        <v>10659.38</v>
      </c>
      <c r="D171" s="29">
        <v>362.746</v>
      </c>
      <c r="E171" s="9">
        <v>0.034</v>
      </c>
    </row>
    <row r="172">
      <c r="A172" s="26">
        <v>44123.0</v>
      </c>
      <c r="B172" s="27">
        <v>10373.59</v>
      </c>
      <c r="C172" s="28">
        <v>10471.17</v>
      </c>
      <c r="D172" s="29">
        <v>375.9538</v>
      </c>
      <c r="E172" s="9">
        <v>0.0359</v>
      </c>
    </row>
    <row r="173">
      <c r="A173" s="26">
        <v>44124.0</v>
      </c>
      <c r="B173" s="27">
        <v>10438.91</v>
      </c>
      <c r="C173" s="28">
        <v>10523.25</v>
      </c>
      <c r="D173" s="29">
        <v>362.7683</v>
      </c>
      <c r="E173" s="9">
        <v>0.0345</v>
      </c>
    </row>
    <row r="174">
      <c r="A174" s="26">
        <v>44125.0</v>
      </c>
      <c r="B174" s="27">
        <v>10408.75</v>
      </c>
      <c r="C174" s="28">
        <v>10503.4</v>
      </c>
      <c r="D174" s="29">
        <v>321.9287</v>
      </c>
      <c r="E174" s="9">
        <v>0.0306</v>
      </c>
    </row>
    <row r="175">
      <c r="A175" s="26">
        <v>44126.0</v>
      </c>
      <c r="B175" s="27">
        <v>10477.17</v>
      </c>
      <c r="C175" s="28">
        <v>10545.16</v>
      </c>
      <c r="D175" s="29">
        <v>369.0119</v>
      </c>
      <c r="E175" s="9">
        <v>0.035</v>
      </c>
    </row>
    <row r="176">
      <c r="A176" s="26">
        <v>44127.0</v>
      </c>
      <c r="B176" s="27">
        <v>10499.28</v>
      </c>
      <c r="C176" s="28">
        <v>10566.6</v>
      </c>
      <c r="D176" s="29">
        <v>342.261</v>
      </c>
      <c r="E176" s="9">
        <v>0.0324</v>
      </c>
    </row>
    <row r="177">
      <c r="A177" s="26">
        <v>44130.0</v>
      </c>
      <c r="B177" s="27">
        <v>10414.77</v>
      </c>
      <c r="C177" s="28">
        <v>10380.71</v>
      </c>
      <c r="D177" s="29">
        <v>443.3415</v>
      </c>
      <c r="E177" s="9">
        <v>0.0427</v>
      </c>
    </row>
    <row r="178">
      <c r="A178" s="26">
        <v>44131.0</v>
      </c>
      <c r="B178" s="27">
        <v>10349.85</v>
      </c>
      <c r="C178" s="28">
        <v>10383.95</v>
      </c>
      <c r="D178" s="29">
        <v>357.4447</v>
      </c>
      <c r="E178" s="9">
        <v>0.0344</v>
      </c>
    </row>
    <row r="179">
      <c r="A179" s="26">
        <v>44132.0</v>
      </c>
      <c r="B179" s="27">
        <v>10117.64</v>
      </c>
      <c r="C179" s="28">
        <v>9990.206</v>
      </c>
      <c r="D179" s="29">
        <v>449.4382</v>
      </c>
      <c r="E179" s="9">
        <v>0.045</v>
      </c>
    </row>
    <row r="180">
      <c r="A180" s="26">
        <v>44133.0</v>
      </c>
      <c r="B180" s="27">
        <v>10112.64</v>
      </c>
      <c r="C180" s="28">
        <v>10126.79</v>
      </c>
      <c r="D180" s="29">
        <v>340.9241</v>
      </c>
      <c r="E180" s="9">
        <v>0.0337</v>
      </c>
    </row>
    <row r="181">
      <c r="A181" s="26">
        <v>44134.0</v>
      </c>
      <c r="B181" s="27">
        <v>10000.21</v>
      </c>
      <c r="C181" s="28">
        <v>9977.037</v>
      </c>
      <c r="D181" s="29">
        <v>274.19</v>
      </c>
      <c r="E181" s="9">
        <v>0.0275</v>
      </c>
    </row>
    <row r="182">
      <c r="A182" s="26">
        <v>44137.0</v>
      </c>
      <c r="B182" s="27">
        <v>10178.52</v>
      </c>
      <c r="C182" s="28">
        <v>10060.82</v>
      </c>
      <c r="D182" s="29">
        <v>282.293</v>
      </c>
      <c r="E182" s="9">
        <v>0.0281</v>
      </c>
    </row>
    <row r="183">
      <c r="A183" s="26">
        <v>44138.0</v>
      </c>
      <c r="B183" s="27">
        <v>10312.11</v>
      </c>
      <c r="C183" s="28">
        <v>10222.35</v>
      </c>
      <c r="D183" s="29">
        <v>255.4384</v>
      </c>
      <c r="E183" s="9">
        <v>0.025</v>
      </c>
    </row>
    <row r="184">
      <c r="A184" s="26">
        <v>44139.0</v>
      </c>
      <c r="B184" s="27">
        <v>10424.33</v>
      </c>
      <c r="C184" s="28">
        <v>10522.79</v>
      </c>
      <c r="D184" s="29">
        <v>317.0389</v>
      </c>
      <c r="E184" s="9">
        <v>0.0301</v>
      </c>
    </row>
    <row r="185">
      <c r="A185" s="26">
        <v>44140.0</v>
      </c>
      <c r="B185" s="27">
        <v>10519.95</v>
      </c>
      <c r="C185" s="28">
        <v>10728.66</v>
      </c>
      <c r="D185" s="29">
        <v>203.1623</v>
      </c>
      <c r="E185" s="9">
        <v>0.0189</v>
      </c>
    </row>
    <row r="186">
      <c r="A186" s="26">
        <v>44141.0</v>
      </c>
      <c r="B186" s="27">
        <v>10551.84</v>
      </c>
      <c r="C186" s="28">
        <v>10726.41</v>
      </c>
      <c r="D186" s="29">
        <v>165.9647</v>
      </c>
      <c r="E186" s="9">
        <v>0.0155</v>
      </c>
    </row>
    <row r="187">
      <c r="A187" s="26">
        <v>44144.0</v>
      </c>
      <c r="B187" s="27">
        <v>10509.64</v>
      </c>
      <c r="C187" s="28">
        <v>10776.84</v>
      </c>
      <c r="D187" s="29">
        <v>11.21397</v>
      </c>
      <c r="E187" s="9">
        <v>0.001</v>
      </c>
    </row>
    <row r="188">
      <c r="A188" s="26">
        <v>44145.0</v>
      </c>
      <c r="B188" s="27">
        <v>10676.43</v>
      </c>
      <c r="C188" s="28">
        <v>10740.38</v>
      </c>
      <c r="D188" s="29">
        <v>75.87612</v>
      </c>
      <c r="E188" s="9">
        <v>0.0071</v>
      </c>
    </row>
    <row r="189">
      <c r="A189" s="26">
        <v>44146.0</v>
      </c>
      <c r="B189" s="27">
        <v>10755.34</v>
      </c>
      <c r="C189" s="28">
        <v>10857.05</v>
      </c>
      <c r="D189" s="29">
        <v>97.6039</v>
      </c>
      <c r="E189" s="9">
        <v>0.009</v>
      </c>
    </row>
    <row r="190">
      <c r="A190" s="26">
        <v>44147.0</v>
      </c>
      <c r="B190" s="27">
        <v>10696.74</v>
      </c>
      <c r="C190" s="28">
        <v>10764.27</v>
      </c>
      <c r="D190" s="29">
        <v>53.46722</v>
      </c>
      <c r="E190" s="9">
        <v>0.005</v>
      </c>
    </row>
    <row r="191">
      <c r="A191" s="26">
        <v>44148.0</v>
      </c>
      <c r="B191" s="27">
        <v>10820.3</v>
      </c>
      <c r="C191" s="28">
        <v>10885.24</v>
      </c>
      <c r="D191" s="29">
        <v>12.81952</v>
      </c>
      <c r="E191" s="9">
        <v>0.0012</v>
      </c>
    </row>
    <row r="192">
      <c r="A192" s="26">
        <v>44151.0</v>
      </c>
      <c r="B192" s="27">
        <v>10846.62</v>
      </c>
      <c r="C192" s="28">
        <v>10995.29</v>
      </c>
      <c r="D192" s="29">
        <v>-57.2875</v>
      </c>
      <c r="E192" s="9">
        <v>-0.0052</v>
      </c>
    </row>
    <row r="193">
      <c r="A193" s="26">
        <v>44152.0</v>
      </c>
      <c r="B193" s="27">
        <v>10759.65</v>
      </c>
      <c r="C193" s="28">
        <v>10941.88</v>
      </c>
      <c r="D193" s="29">
        <v>-92.2581</v>
      </c>
      <c r="E193" s="9">
        <v>-0.0084</v>
      </c>
    </row>
    <row r="194">
      <c r="A194" s="26">
        <v>44153.0</v>
      </c>
      <c r="B194" s="27">
        <v>10673.65</v>
      </c>
      <c r="C194" s="28">
        <v>10814.23</v>
      </c>
      <c r="D194" s="29">
        <v>-64.4997</v>
      </c>
      <c r="E194" s="9">
        <v>-0.006</v>
      </c>
    </row>
    <row r="195">
      <c r="A195" s="26">
        <v>44154.0</v>
      </c>
      <c r="B195" s="27">
        <v>10725.54</v>
      </c>
      <c r="C195" s="28">
        <v>10856.25</v>
      </c>
      <c r="D195" s="29">
        <v>-111.587</v>
      </c>
      <c r="E195" s="9">
        <v>-0.0103</v>
      </c>
    </row>
    <row r="196">
      <c r="A196" s="26">
        <v>44155.0</v>
      </c>
      <c r="B196" s="27">
        <v>10699.58</v>
      </c>
      <c r="C196" s="28">
        <v>10775.78</v>
      </c>
      <c r="D196" s="29">
        <v>-32.4394</v>
      </c>
      <c r="E196" s="9">
        <v>-0.003</v>
      </c>
    </row>
    <row r="197">
      <c r="A197" s="26">
        <v>44158.0</v>
      </c>
      <c r="B197" s="27">
        <v>10658.98</v>
      </c>
      <c r="C197" s="28">
        <v>10815.02</v>
      </c>
      <c r="D197" s="29">
        <v>-100.918</v>
      </c>
      <c r="E197" s="9">
        <v>-0.0093</v>
      </c>
    </row>
    <row r="198">
      <c r="A198" s="26">
        <v>44159.0</v>
      </c>
      <c r="B198" s="27">
        <v>10724.01</v>
      </c>
      <c r="C198" s="28">
        <v>11001.71</v>
      </c>
      <c r="D198" s="29">
        <v>-190.153</v>
      </c>
      <c r="E198" s="9">
        <v>-0.0173</v>
      </c>
    </row>
    <row r="199">
      <c r="A199" s="26">
        <v>44160.0</v>
      </c>
      <c r="B199" s="27">
        <v>10765.55</v>
      </c>
      <c r="C199" s="28">
        <v>11000.32</v>
      </c>
      <c r="D199" s="29">
        <v>-119.563</v>
      </c>
      <c r="E199" s="9">
        <v>-0.0109</v>
      </c>
    </row>
    <row r="200">
      <c r="A200" s="26">
        <v>44162.0</v>
      </c>
      <c r="B200" s="27">
        <v>10754.39</v>
      </c>
      <c r="C200" s="28">
        <v>11024.07</v>
      </c>
      <c r="D200" s="29">
        <v>-124.156</v>
      </c>
      <c r="E200" s="9">
        <v>-0.0113</v>
      </c>
    </row>
    <row r="201">
      <c r="A201" s="26">
        <v>44165.0</v>
      </c>
      <c r="B201" s="27">
        <v>10710.97</v>
      </c>
      <c r="C201" s="28">
        <v>10977.09</v>
      </c>
      <c r="D201" s="29">
        <v>-171.325</v>
      </c>
      <c r="E201" s="9">
        <v>-0.0156</v>
      </c>
    </row>
    <row r="202">
      <c r="A202" s="26">
        <v>44166.0</v>
      </c>
      <c r="B202" s="27">
        <v>10790.69</v>
      </c>
      <c r="C202" s="28">
        <v>11114.21</v>
      </c>
      <c r="D202" s="29">
        <v>-220.637</v>
      </c>
      <c r="E202" s="9">
        <v>-0.0199</v>
      </c>
    </row>
    <row r="203">
      <c r="A203" s="26">
        <v>44167.0</v>
      </c>
      <c r="B203" s="27">
        <v>10773.11</v>
      </c>
      <c r="C203" s="28">
        <v>11150.8</v>
      </c>
      <c r="D203" s="29">
        <v>-261.555</v>
      </c>
      <c r="E203" s="9">
        <v>-0.0235</v>
      </c>
    </row>
    <row r="204">
      <c r="A204" s="26">
        <v>44168.0</v>
      </c>
      <c r="B204" s="27">
        <v>10683.52</v>
      </c>
      <c r="C204" s="28">
        <v>11132.41</v>
      </c>
      <c r="D204" s="29">
        <v>-273.934</v>
      </c>
      <c r="E204" s="9">
        <v>-0.0246</v>
      </c>
    </row>
    <row r="205">
      <c r="A205" s="26">
        <v>44169.0</v>
      </c>
      <c r="B205" s="27">
        <v>10708.27</v>
      </c>
      <c r="C205" s="28">
        <v>11201.1</v>
      </c>
      <c r="D205" s="29">
        <v>-333.046</v>
      </c>
      <c r="E205" s="9">
        <v>-0.0297</v>
      </c>
    </row>
    <row r="206">
      <c r="A206" s="26">
        <v>44172.0</v>
      </c>
      <c r="B206" s="27">
        <v>10700.21</v>
      </c>
      <c r="C206" s="28">
        <v>11190.9</v>
      </c>
      <c r="D206" s="29">
        <v>-352.487</v>
      </c>
      <c r="E206" s="9">
        <v>-0.0315</v>
      </c>
    </row>
    <row r="207">
      <c r="A207" s="26">
        <v>44173.0</v>
      </c>
      <c r="B207" s="27">
        <v>10759.03</v>
      </c>
      <c r="C207" s="28">
        <v>11223.73</v>
      </c>
      <c r="D207" s="29">
        <v>-355.929</v>
      </c>
      <c r="E207" s="9">
        <v>-0.0317</v>
      </c>
    </row>
    <row r="208">
      <c r="A208" s="26">
        <v>44174.0</v>
      </c>
      <c r="B208" s="27">
        <v>10787.21</v>
      </c>
      <c r="C208" s="28">
        <v>11124.73</v>
      </c>
      <c r="D208" s="29">
        <v>-235.285</v>
      </c>
      <c r="E208" s="9">
        <v>-0.0211</v>
      </c>
    </row>
    <row r="209">
      <c r="A209" s="26">
        <v>44175.0</v>
      </c>
      <c r="B209" s="27">
        <v>10763.78</v>
      </c>
      <c r="C209" s="28">
        <v>11112.62</v>
      </c>
      <c r="D209" s="29">
        <v>-223.297</v>
      </c>
      <c r="E209" s="9">
        <v>-0.0201</v>
      </c>
    </row>
    <row r="210">
      <c r="A210" s="26">
        <v>44176.0</v>
      </c>
      <c r="B210" s="27">
        <v>10787.67</v>
      </c>
      <c r="C210" s="28">
        <v>11112.09</v>
      </c>
      <c r="D210" s="29">
        <v>-224.695</v>
      </c>
      <c r="E210" s="9">
        <v>-0.0202</v>
      </c>
    </row>
    <row r="211">
      <c r="A211" s="26">
        <v>44179.0</v>
      </c>
      <c r="B211" s="27">
        <v>10700.87</v>
      </c>
      <c r="C211" s="28">
        <v>11062.79</v>
      </c>
      <c r="D211" s="29">
        <v>-153.322</v>
      </c>
      <c r="E211" s="9">
        <v>-0.0139</v>
      </c>
    </row>
    <row r="212">
      <c r="A212" s="26">
        <v>44180.0</v>
      </c>
      <c r="B212" s="27">
        <v>10837.62</v>
      </c>
      <c r="C212" s="28">
        <v>11194.21</v>
      </c>
      <c r="D212" s="29">
        <v>-67.914</v>
      </c>
      <c r="E212" s="9">
        <v>-0.0061</v>
      </c>
    </row>
    <row r="213">
      <c r="A213" s="26">
        <v>44181.0</v>
      </c>
      <c r="B213" s="27">
        <v>10817.79</v>
      </c>
      <c r="C213" s="28">
        <v>11225.18</v>
      </c>
      <c r="D213" s="29">
        <v>-12.5117</v>
      </c>
      <c r="E213" s="9">
        <v>-0.0011</v>
      </c>
    </row>
    <row r="214">
      <c r="A214" s="26">
        <v>44182.0</v>
      </c>
      <c r="B214" s="27">
        <v>10873.55</v>
      </c>
      <c r="C214" s="28">
        <v>11275.08</v>
      </c>
      <c r="D214" s="29">
        <v>-22.511</v>
      </c>
      <c r="E214" s="9">
        <v>-0.002</v>
      </c>
    </row>
    <row r="215">
      <c r="A215" s="26">
        <v>44183.0</v>
      </c>
      <c r="B215" s="27">
        <v>10820.08</v>
      </c>
      <c r="C215" s="28">
        <v>11221.61</v>
      </c>
      <c r="D215" s="29">
        <v>-83.0317</v>
      </c>
      <c r="E215" s="9">
        <v>-0.0074</v>
      </c>
    </row>
    <row r="216">
      <c r="A216" s="26">
        <v>44186.0</v>
      </c>
      <c r="B216" s="27">
        <v>10756.1</v>
      </c>
      <c r="C216" s="28">
        <v>11203.74</v>
      </c>
      <c r="D216" s="29">
        <v>-143.188</v>
      </c>
      <c r="E216" s="9">
        <v>-0.0128</v>
      </c>
    </row>
    <row r="217">
      <c r="A217" s="26">
        <v>44187.0</v>
      </c>
      <c r="B217" s="27">
        <v>10697.81</v>
      </c>
      <c r="C217" s="28">
        <v>11177.8</v>
      </c>
      <c r="D217" s="29">
        <v>-142.556</v>
      </c>
      <c r="E217" s="9">
        <v>-0.0128</v>
      </c>
    </row>
    <row r="218">
      <c r="A218" s="26">
        <v>44188.0</v>
      </c>
      <c r="B218" s="27">
        <v>10666.36</v>
      </c>
      <c r="C218" s="28">
        <v>11179.13</v>
      </c>
      <c r="D218" s="29">
        <v>-182.529</v>
      </c>
      <c r="E218" s="9">
        <v>-0.0163</v>
      </c>
    </row>
    <row r="219">
      <c r="A219" s="26">
        <v>44189.0</v>
      </c>
      <c r="B219" s="27">
        <v>10734.97</v>
      </c>
      <c r="C219" s="28">
        <v>11215.59</v>
      </c>
      <c r="D219" s="29">
        <v>-180.407</v>
      </c>
      <c r="E219" s="9">
        <v>-0.0161</v>
      </c>
    </row>
    <row r="220">
      <c r="A220" s="26">
        <v>44193.0</v>
      </c>
      <c r="B220" s="27">
        <v>10828.46</v>
      </c>
      <c r="C220" s="28">
        <v>11350.59</v>
      </c>
      <c r="D220" s="29">
        <v>-174.196</v>
      </c>
      <c r="E220" s="9">
        <v>-0.0153</v>
      </c>
    </row>
    <row r="221">
      <c r="A221" s="26">
        <v>44194.0</v>
      </c>
      <c r="B221" s="27">
        <v>10831.36</v>
      </c>
      <c r="C221" s="28">
        <v>11337.42</v>
      </c>
      <c r="D221" s="29">
        <v>-115.009</v>
      </c>
      <c r="E221" s="9">
        <v>-0.0101</v>
      </c>
    </row>
    <row r="222">
      <c r="A222" s="26">
        <v>44195.0</v>
      </c>
      <c r="B222" s="27">
        <v>10863.64</v>
      </c>
      <c r="C222" s="28">
        <v>11325.04</v>
      </c>
      <c r="D222" s="29">
        <v>-120.225</v>
      </c>
      <c r="E222" s="9">
        <v>-0.0106</v>
      </c>
    </row>
    <row r="223">
      <c r="A223" s="26">
        <v>44196.0</v>
      </c>
      <c r="B223" s="27">
        <v>10963.55</v>
      </c>
      <c r="C223" s="28">
        <v>11385.59</v>
      </c>
      <c r="D223" s="29">
        <v>-80.295</v>
      </c>
      <c r="E223" s="9">
        <v>-0.0071</v>
      </c>
    </row>
    <row r="224">
      <c r="A224" s="26">
        <v>44200.0</v>
      </c>
      <c r="B224" s="27">
        <v>10813.68</v>
      </c>
      <c r="C224" s="28">
        <v>11229.15</v>
      </c>
      <c r="D224" s="29">
        <v>-188.259</v>
      </c>
      <c r="E224" s="9">
        <v>-0.0168</v>
      </c>
    </row>
    <row r="225">
      <c r="A225" s="26">
        <v>44201.0</v>
      </c>
      <c r="B225" s="27">
        <v>10801.93</v>
      </c>
      <c r="C225" s="28">
        <v>11304.33</v>
      </c>
      <c r="D225" s="29">
        <v>-195.753</v>
      </c>
      <c r="E225" s="9">
        <v>-0.0173</v>
      </c>
    </row>
    <row r="226">
      <c r="A226" s="26">
        <v>44202.0</v>
      </c>
      <c r="B226" s="27">
        <v>10873.76</v>
      </c>
      <c r="C226" s="28">
        <v>11294.6</v>
      </c>
      <c r="D226" s="29">
        <v>-106.001</v>
      </c>
      <c r="E226" s="9">
        <v>-0.0094</v>
      </c>
    </row>
    <row r="227">
      <c r="A227" s="26">
        <v>44203.0</v>
      </c>
      <c r="B227" s="27">
        <v>10892.53</v>
      </c>
      <c r="C227" s="28">
        <v>11480.16</v>
      </c>
      <c r="D227" s="29">
        <v>-201.355</v>
      </c>
      <c r="E227" s="9">
        <v>-0.0175</v>
      </c>
    </row>
    <row r="228">
      <c r="A228" s="26">
        <v>44204.0</v>
      </c>
      <c r="B228" s="27">
        <v>10972.74</v>
      </c>
      <c r="C228" s="28">
        <v>11563.14</v>
      </c>
      <c r="D228" s="29">
        <v>-180.397</v>
      </c>
      <c r="E228" s="9">
        <v>-0.0156</v>
      </c>
    </row>
    <row r="229">
      <c r="A229" s="26">
        <v>44207.0</v>
      </c>
      <c r="B229" s="27">
        <v>11058.93</v>
      </c>
      <c r="C229" s="28">
        <v>11463.29</v>
      </c>
      <c r="D229" s="29">
        <v>20.40801</v>
      </c>
      <c r="E229" s="9">
        <v>0.0018</v>
      </c>
    </row>
    <row r="230">
      <c r="A230" s="26">
        <v>44208.0</v>
      </c>
      <c r="B230" s="27">
        <v>10947.46</v>
      </c>
      <c r="C230" s="28">
        <v>11449.79</v>
      </c>
      <c r="D230" s="29">
        <v>-116.448</v>
      </c>
      <c r="E230" s="9">
        <v>-0.0102</v>
      </c>
    </row>
    <row r="231">
      <c r="A231" s="26">
        <v>44209.0</v>
      </c>
      <c r="B231" s="27">
        <v>11056.87</v>
      </c>
      <c r="C231" s="28">
        <v>11512.45</v>
      </c>
      <c r="D231" s="29">
        <v>46.39801</v>
      </c>
      <c r="E231" s="9">
        <v>0.004</v>
      </c>
    </row>
    <row r="232">
      <c r="A232" s="26">
        <v>44210.0</v>
      </c>
      <c r="B232" s="27">
        <v>11009.32</v>
      </c>
      <c r="C232" s="28">
        <v>11446.74</v>
      </c>
      <c r="D232" s="29">
        <v>76.78725</v>
      </c>
      <c r="E232" s="9">
        <v>0.0067</v>
      </c>
    </row>
    <row r="233">
      <c r="A233" s="26">
        <v>44211.0</v>
      </c>
      <c r="B233" s="27">
        <v>11008.94</v>
      </c>
      <c r="C233" s="28">
        <v>11356.54</v>
      </c>
      <c r="D233" s="29">
        <v>195.3292</v>
      </c>
      <c r="E233" s="9">
        <v>0.0172</v>
      </c>
    </row>
    <row r="234">
      <c r="A234" s="26">
        <v>44215.0</v>
      </c>
      <c r="B234" s="27">
        <v>11052.97</v>
      </c>
      <c r="C234" s="28">
        <v>11457.86</v>
      </c>
      <c r="D234" s="29">
        <v>251.4336</v>
      </c>
      <c r="E234" s="9">
        <v>0.0219</v>
      </c>
    </row>
    <row r="235">
      <c r="A235" s="26">
        <v>44216.0</v>
      </c>
      <c r="B235" s="27">
        <v>11146.76</v>
      </c>
      <c r="C235" s="28">
        <v>11660.09</v>
      </c>
      <c r="D235" s="29">
        <v>258.9188</v>
      </c>
      <c r="E235" s="9">
        <v>0.0222</v>
      </c>
    </row>
    <row r="236">
      <c r="A236" s="26">
        <v>44217.0</v>
      </c>
      <c r="B236" s="27">
        <v>11119.86</v>
      </c>
      <c r="C236" s="28">
        <v>11692.39</v>
      </c>
      <c r="D236" s="29">
        <v>293.8607</v>
      </c>
      <c r="E236" s="9">
        <v>0.0251</v>
      </c>
    </row>
    <row r="237">
      <c r="A237" s="26">
        <v>44218.0</v>
      </c>
      <c r="B237" s="27">
        <v>11169.07</v>
      </c>
      <c r="C237" s="28">
        <v>11674.85</v>
      </c>
      <c r="D237" s="29">
        <v>283.5837</v>
      </c>
      <c r="E237" s="9">
        <v>0.0243</v>
      </c>
    </row>
    <row r="238">
      <c r="A238" s="26">
        <v>44221.0</v>
      </c>
      <c r="B238" s="27">
        <v>11312.71</v>
      </c>
      <c r="C238" s="28">
        <v>11743.87</v>
      </c>
      <c r="D238" s="29">
        <v>365.5239</v>
      </c>
      <c r="E238" s="9">
        <v>0.0311</v>
      </c>
    </row>
    <row r="239">
      <c r="A239" s="26">
        <v>44222.0</v>
      </c>
      <c r="B239" s="27">
        <v>11284.47</v>
      </c>
      <c r="C239" s="28">
        <v>11751.62</v>
      </c>
      <c r="D239" s="29">
        <v>314.6958</v>
      </c>
      <c r="E239" s="9">
        <v>0.0268</v>
      </c>
    </row>
    <row r="240">
      <c r="A240" s="26">
        <v>44223.0</v>
      </c>
      <c r="B240" s="27">
        <v>10939.68</v>
      </c>
      <c r="C240" s="28">
        <v>11460.97</v>
      </c>
      <c r="D240" s="29">
        <v>201.1655</v>
      </c>
      <c r="E240" s="9">
        <v>0.0176</v>
      </c>
    </row>
    <row r="241">
      <c r="A241" s="26">
        <v>44224.0</v>
      </c>
      <c r="B241" s="27">
        <v>11055.48</v>
      </c>
      <c r="C241" s="28">
        <v>11551.37</v>
      </c>
      <c r="D241" s="29">
        <v>251.2621</v>
      </c>
      <c r="E241" s="9">
        <v>0.0218</v>
      </c>
    </row>
    <row r="242">
      <c r="A242" s="26">
        <v>44225.0</v>
      </c>
      <c r="B242" s="27">
        <v>10893.25</v>
      </c>
      <c r="C242" s="28">
        <v>11314.46</v>
      </c>
      <c r="D242" s="29">
        <v>385.9227</v>
      </c>
      <c r="E242" s="9">
        <v>0.0341</v>
      </c>
    </row>
    <row r="243">
      <c r="A243" s="26">
        <v>44228.0</v>
      </c>
      <c r="B243" s="27">
        <v>10865.89</v>
      </c>
      <c r="C243" s="28">
        <v>11495.45</v>
      </c>
      <c r="D243" s="29">
        <v>300.4055</v>
      </c>
      <c r="E243" s="9">
        <v>0.0261</v>
      </c>
    </row>
    <row r="244">
      <c r="A244" s="26">
        <v>44229.0</v>
      </c>
      <c r="B244" s="27">
        <v>10923.27</v>
      </c>
      <c r="C244" s="28">
        <v>11653.34</v>
      </c>
      <c r="D244" s="29">
        <v>194.027</v>
      </c>
      <c r="E244" s="9">
        <v>0.0166</v>
      </c>
    </row>
    <row r="245">
      <c r="A245" s="26">
        <v>44230.0</v>
      </c>
      <c r="B245" s="27">
        <v>10913.05</v>
      </c>
      <c r="C245" s="28">
        <v>11680.34</v>
      </c>
      <c r="D245" s="29">
        <v>89.36701</v>
      </c>
      <c r="E245" s="9">
        <v>0.0077</v>
      </c>
    </row>
    <row r="246">
      <c r="A246" s="26">
        <v>44231.0</v>
      </c>
      <c r="B246" s="27">
        <v>10986.54</v>
      </c>
      <c r="C246" s="28">
        <v>11805.42</v>
      </c>
      <c r="D246" s="29">
        <v>67.40811</v>
      </c>
      <c r="E246" s="9">
        <v>0.0057</v>
      </c>
    </row>
    <row r="247">
      <c r="A247" s="26">
        <v>44232.0</v>
      </c>
      <c r="B247" s="27">
        <v>11048.86</v>
      </c>
      <c r="C247" s="28">
        <v>11846.25</v>
      </c>
      <c r="D247" s="29">
        <v>69.41193</v>
      </c>
      <c r="E247" s="9">
        <v>0.0059</v>
      </c>
    </row>
    <row r="248">
      <c r="A248" s="26">
        <v>44235.0</v>
      </c>
      <c r="B248" s="27">
        <v>11101.04</v>
      </c>
      <c r="C248" s="28">
        <v>11916.79</v>
      </c>
      <c r="D248" s="29">
        <v>13.26678</v>
      </c>
      <c r="E248" s="9">
        <v>0.0011</v>
      </c>
    </row>
    <row r="249">
      <c r="A249" s="26">
        <v>44236.0</v>
      </c>
      <c r="B249" s="27">
        <v>11080.29</v>
      </c>
      <c r="C249" s="28">
        <v>11896.34</v>
      </c>
      <c r="D249" s="29">
        <v>27.04674</v>
      </c>
      <c r="E249" s="9">
        <v>0.0023</v>
      </c>
    </row>
    <row r="250">
      <c r="A250" s="26">
        <v>44237.0</v>
      </c>
      <c r="B250" s="27">
        <v>11063.67</v>
      </c>
      <c r="C250" s="28">
        <v>11876.89</v>
      </c>
      <c r="D250" s="29">
        <v>68.96621</v>
      </c>
      <c r="E250" s="9">
        <v>0.0058</v>
      </c>
    </row>
    <row r="251">
      <c r="A251" s="26">
        <v>44238.0</v>
      </c>
      <c r="B251" s="27">
        <v>11057.33</v>
      </c>
      <c r="C251" s="28">
        <v>11888.27</v>
      </c>
      <c r="D251" s="29">
        <v>53.55098</v>
      </c>
      <c r="E251" s="9">
        <v>0.0045</v>
      </c>
    </row>
    <row r="252">
      <c r="A252" s="26">
        <v>44239.0</v>
      </c>
      <c r="B252" s="27">
        <v>11078.46</v>
      </c>
      <c r="C252" s="28">
        <v>11932.34</v>
      </c>
      <c r="D252" s="29">
        <v>37.64229</v>
      </c>
      <c r="E252" s="9">
        <v>0.0032</v>
      </c>
    </row>
    <row r="253">
      <c r="A253" s="26">
        <v>44243.0</v>
      </c>
      <c r="B253" s="27">
        <v>11010.02</v>
      </c>
      <c r="C253" s="28">
        <v>11925.99</v>
      </c>
      <c r="D253" s="29">
        <v>-43.9452</v>
      </c>
      <c r="E253" s="9">
        <v>-0.0037</v>
      </c>
    </row>
    <row r="254">
      <c r="A254" s="26">
        <v>44244.0</v>
      </c>
      <c r="B254" s="27">
        <v>11056.94</v>
      </c>
      <c r="C254" s="28">
        <v>11932.47</v>
      </c>
      <c r="D254" s="29">
        <v>-37.6988</v>
      </c>
      <c r="E254" s="9">
        <v>-0.0032</v>
      </c>
    </row>
    <row r="255">
      <c r="A255" s="26">
        <v>44245.0</v>
      </c>
      <c r="B255" s="27">
        <v>10911.12</v>
      </c>
      <c r="C255" s="28">
        <v>11871.86</v>
      </c>
      <c r="D255" s="29">
        <v>11.81268</v>
      </c>
      <c r="E255" s="9">
        <v>0.001</v>
      </c>
    </row>
    <row r="256">
      <c r="A256" s="26">
        <v>44246.0</v>
      </c>
      <c r="B256" s="27">
        <v>10799.46</v>
      </c>
      <c r="C256" s="28">
        <v>11797.08</v>
      </c>
      <c r="D256" s="29">
        <v>-82.0578</v>
      </c>
      <c r="E256" s="9">
        <v>-0.007</v>
      </c>
    </row>
    <row r="257">
      <c r="A257" s="26">
        <v>44249.0</v>
      </c>
      <c r="B257" s="27">
        <v>10710.03</v>
      </c>
      <c r="C257" s="28">
        <v>11679.55</v>
      </c>
      <c r="D257" s="29">
        <v>-117.403</v>
      </c>
      <c r="E257" s="9">
        <v>-0.0101</v>
      </c>
    </row>
    <row r="258">
      <c r="A258" s="26">
        <v>44250.0</v>
      </c>
      <c r="B258" s="27">
        <v>10632.55</v>
      </c>
      <c r="C258" s="28">
        <v>11686.1</v>
      </c>
      <c r="D258" s="29">
        <v>-108.991</v>
      </c>
      <c r="E258" s="9">
        <v>-0.0093</v>
      </c>
    </row>
    <row r="259">
      <c r="A259" s="26">
        <v>44251.0</v>
      </c>
      <c r="B259" s="27">
        <v>10579.61</v>
      </c>
      <c r="C259" s="28">
        <v>11807.4</v>
      </c>
      <c r="D259" s="29">
        <v>-229.48</v>
      </c>
      <c r="E259" s="9">
        <v>-0.0194</v>
      </c>
    </row>
    <row r="260">
      <c r="A260" s="26">
        <v>44252.0</v>
      </c>
      <c r="B260" s="27">
        <v>10508.12</v>
      </c>
      <c r="C260" s="28">
        <v>11512.65</v>
      </c>
      <c r="D260" s="29">
        <v>-80.9638</v>
      </c>
      <c r="E260" s="9">
        <v>-0.007</v>
      </c>
    </row>
    <row r="261">
      <c r="A261" s="26">
        <v>44253.0</v>
      </c>
      <c r="B261" s="27">
        <v>10378.7</v>
      </c>
      <c r="C261" s="28">
        <v>11457.86</v>
      </c>
      <c r="D261" s="29">
        <v>-44.1671</v>
      </c>
      <c r="E261" s="9">
        <v>-0.0039</v>
      </c>
    </row>
    <row r="262">
      <c r="A262" s="26">
        <v>44256.0</v>
      </c>
      <c r="B262" s="27">
        <v>10516.13</v>
      </c>
      <c r="C262" s="28">
        <v>11735.67</v>
      </c>
      <c r="D262" s="29">
        <v>-125.517</v>
      </c>
      <c r="E262" s="9">
        <v>-0.0107</v>
      </c>
    </row>
    <row r="263">
      <c r="A263" s="26">
        <v>44257.0</v>
      </c>
      <c r="B263" s="27">
        <v>10463.64</v>
      </c>
      <c r="C263" s="28">
        <v>11632.03</v>
      </c>
      <c r="D263" s="29">
        <v>-112.006</v>
      </c>
      <c r="E263" s="9">
        <v>-0.0096</v>
      </c>
    </row>
    <row r="264">
      <c r="A264" s="26">
        <v>44258.0</v>
      </c>
      <c r="B264" s="27">
        <v>10312.31</v>
      </c>
      <c r="C264" s="28">
        <v>11472.22</v>
      </c>
      <c r="D264" s="29">
        <v>-174.791</v>
      </c>
      <c r="E264" s="9">
        <v>-0.0152</v>
      </c>
    </row>
    <row r="265">
      <c r="A265" s="26">
        <v>44259.0</v>
      </c>
      <c r="B265" s="27">
        <v>10225.77</v>
      </c>
      <c r="C265" s="28">
        <v>11341.06</v>
      </c>
      <c r="D265" s="29">
        <v>-140.686</v>
      </c>
      <c r="E265" s="9">
        <v>-0.0124</v>
      </c>
    </row>
    <row r="266">
      <c r="A266" s="26">
        <v>44260.0</v>
      </c>
      <c r="B266" s="27">
        <v>10339.84</v>
      </c>
      <c r="C266" s="28">
        <v>11539.19</v>
      </c>
      <c r="D266" s="29">
        <v>-158.067</v>
      </c>
      <c r="E266" s="9">
        <v>-0.0137</v>
      </c>
    </row>
    <row r="267">
      <c r="A267" s="26">
        <v>44263.0</v>
      </c>
      <c r="B267" s="27">
        <v>10360.87</v>
      </c>
      <c r="C267" s="28">
        <v>11441.78</v>
      </c>
      <c r="D267" s="29">
        <v>-48.3652</v>
      </c>
      <c r="E267" s="9">
        <v>-0.0042</v>
      </c>
    </row>
    <row r="268">
      <c r="A268" s="26">
        <v>44264.0</v>
      </c>
      <c r="B268" s="27">
        <v>10453.14</v>
      </c>
      <c r="C268" s="28">
        <v>11647.85</v>
      </c>
      <c r="D268" s="29">
        <v>-71.0182</v>
      </c>
      <c r="E268" s="9">
        <v>-0.0061</v>
      </c>
    </row>
    <row r="269">
      <c r="A269" s="26">
        <v>44265.0</v>
      </c>
      <c r="B269" s="27">
        <v>10560.68</v>
      </c>
      <c r="C269" s="28">
        <v>11711.84</v>
      </c>
      <c r="D269" s="29">
        <v>-96.3246</v>
      </c>
      <c r="E269" s="9">
        <v>-0.0082</v>
      </c>
    </row>
    <row r="270">
      <c r="A270" s="26">
        <v>44266.0</v>
      </c>
      <c r="B270" s="27">
        <v>10565.64</v>
      </c>
      <c r="C270" s="28">
        <v>11839.23</v>
      </c>
      <c r="D270" s="29">
        <v>-178.978</v>
      </c>
      <c r="E270" s="9">
        <v>-0.0151</v>
      </c>
    </row>
    <row r="271">
      <c r="A271" s="26">
        <v>44267.0</v>
      </c>
      <c r="B271" s="27">
        <v>10669.45</v>
      </c>
      <c r="C271" s="28">
        <v>11824.54</v>
      </c>
      <c r="D271" s="29">
        <v>-102.713</v>
      </c>
      <c r="E271" s="9">
        <v>-0.0087</v>
      </c>
    </row>
    <row r="272">
      <c r="A272" s="26">
        <v>44270.0</v>
      </c>
      <c r="B272" s="27">
        <v>10565.39</v>
      </c>
      <c r="C272" s="28">
        <v>11879.0</v>
      </c>
      <c r="D272" s="29">
        <v>-283.455</v>
      </c>
      <c r="E272" s="9">
        <v>-0.0239</v>
      </c>
    </row>
    <row r="273">
      <c r="A273" s="26">
        <v>44271.0</v>
      </c>
      <c r="B273" s="27">
        <v>10576.25</v>
      </c>
      <c r="C273" s="28">
        <v>11894.42</v>
      </c>
      <c r="D273" s="29">
        <v>-260.124</v>
      </c>
      <c r="E273" s="9">
        <v>-0.0219</v>
      </c>
    </row>
    <row r="274">
      <c r="A274" s="26">
        <v>44272.0</v>
      </c>
      <c r="B274" s="27">
        <v>10472.29</v>
      </c>
      <c r="C274" s="28">
        <v>11926.12</v>
      </c>
      <c r="D274" s="29">
        <v>-340.7</v>
      </c>
      <c r="E274" s="9">
        <v>-0.0286</v>
      </c>
    </row>
    <row r="275">
      <c r="A275" s="26">
        <v>44273.0</v>
      </c>
      <c r="B275" s="27">
        <v>10332.22</v>
      </c>
      <c r="C275" s="28">
        <v>11731.36</v>
      </c>
      <c r="D275" s="29">
        <v>-326.549</v>
      </c>
      <c r="E275" s="9">
        <v>-0.0278</v>
      </c>
    </row>
    <row r="276">
      <c r="A276" s="26">
        <v>44274.0</v>
      </c>
      <c r="B276" s="27">
        <v>10370.1</v>
      </c>
      <c r="C276" s="28">
        <v>11725.54</v>
      </c>
      <c r="D276" s="29">
        <v>-298.955</v>
      </c>
      <c r="E276" s="9">
        <v>-0.0255</v>
      </c>
    </row>
    <row r="277">
      <c r="A277" s="26">
        <v>44277.0</v>
      </c>
      <c r="B277" s="27">
        <v>10451.77</v>
      </c>
      <c r="C277" s="28">
        <v>11832.68</v>
      </c>
      <c r="D277" s="29">
        <v>-293.396</v>
      </c>
      <c r="E277" s="9">
        <v>-0.0248</v>
      </c>
    </row>
    <row r="278">
      <c r="B278" s="37"/>
      <c r="C278" s="38"/>
    </row>
    <row r="279">
      <c r="B279" s="37"/>
      <c r="C279" s="38"/>
    </row>
    <row r="280">
      <c r="B280" s="37"/>
      <c r="C280" s="38"/>
    </row>
    <row r="281">
      <c r="B281" s="37"/>
      <c r="C281" s="38"/>
    </row>
    <row r="282">
      <c r="B282" s="37"/>
      <c r="C282" s="38"/>
    </row>
    <row r="283">
      <c r="B283" s="37"/>
      <c r="C283" s="38"/>
    </row>
    <row r="284">
      <c r="B284" s="37"/>
      <c r="C284" s="38"/>
    </row>
    <row r="285">
      <c r="B285" s="37"/>
      <c r="C285" s="38"/>
    </row>
    <row r="286">
      <c r="B286" s="37"/>
      <c r="C286" s="38"/>
    </row>
    <row r="287">
      <c r="B287" s="37"/>
      <c r="C287" s="38"/>
    </row>
    <row r="288">
      <c r="B288" s="37"/>
      <c r="C288" s="38"/>
    </row>
    <row r="289">
      <c r="B289" s="37"/>
      <c r="C289" s="38"/>
    </row>
    <row r="290">
      <c r="B290" s="37"/>
      <c r="C290" s="38"/>
    </row>
    <row r="291">
      <c r="B291" s="37"/>
      <c r="C291" s="38"/>
    </row>
    <row r="292">
      <c r="B292" s="37"/>
      <c r="C292" s="38"/>
    </row>
    <row r="293">
      <c r="B293" s="37"/>
      <c r="C293" s="38"/>
    </row>
    <row r="294">
      <c r="B294" s="37"/>
      <c r="C294" s="38"/>
    </row>
    <row r="295">
      <c r="B295" s="37"/>
      <c r="C295" s="38"/>
    </row>
    <row r="296">
      <c r="B296" s="37"/>
      <c r="C296" s="38"/>
    </row>
    <row r="297">
      <c r="B297" s="37"/>
      <c r="C297" s="38"/>
    </row>
    <row r="298">
      <c r="B298" s="37"/>
      <c r="C298" s="38"/>
    </row>
    <row r="299">
      <c r="B299" s="37"/>
      <c r="C299" s="38"/>
    </row>
    <row r="300">
      <c r="B300" s="37"/>
      <c r="C300" s="38"/>
    </row>
    <row r="301">
      <c r="B301" s="37"/>
      <c r="C301" s="38"/>
    </row>
    <row r="302">
      <c r="B302" s="37"/>
      <c r="C302" s="38"/>
    </row>
    <row r="303">
      <c r="B303" s="37"/>
      <c r="C303" s="38"/>
    </row>
    <row r="304">
      <c r="B304" s="37"/>
      <c r="C304" s="38"/>
    </row>
    <row r="305">
      <c r="B305" s="37"/>
      <c r="C305" s="38"/>
    </row>
    <row r="306">
      <c r="B306" s="37"/>
      <c r="C306" s="38"/>
    </row>
    <row r="307">
      <c r="B307" s="37"/>
      <c r="C307" s="38"/>
    </row>
    <row r="308">
      <c r="B308" s="37"/>
      <c r="C308" s="38"/>
    </row>
    <row r="309">
      <c r="B309" s="37"/>
      <c r="C309" s="38"/>
    </row>
    <row r="310">
      <c r="B310" s="37"/>
      <c r="C310" s="38"/>
    </row>
    <row r="311">
      <c r="B311" s="37"/>
      <c r="C311" s="38"/>
    </row>
    <row r="312">
      <c r="B312" s="37"/>
      <c r="C312" s="38"/>
    </row>
    <row r="313">
      <c r="B313" s="37"/>
      <c r="C313" s="38"/>
    </row>
    <row r="314">
      <c r="B314" s="37"/>
      <c r="C314" s="38"/>
    </row>
    <row r="315">
      <c r="B315" s="37"/>
      <c r="C315" s="38"/>
    </row>
    <row r="316">
      <c r="B316" s="37"/>
      <c r="C316" s="38"/>
    </row>
    <row r="317">
      <c r="B317" s="37"/>
      <c r="C317" s="38"/>
    </row>
    <row r="318">
      <c r="B318" s="37"/>
      <c r="C318" s="38"/>
    </row>
    <row r="319">
      <c r="B319" s="37"/>
      <c r="C319" s="38"/>
    </row>
    <row r="320">
      <c r="B320" s="37"/>
      <c r="C320" s="38"/>
    </row>
    <row r="321">
      <c r="B321" s="37"/>
      <c r="C321" s="38"/>
    </row>
    <row r="322">
      <c r="B322" s="37"/>
      <c r="C322" s="38"/>
    </row>
    <row r="323">
      <c r="B323" s="37"/>
      <c r="C323" s="38"/>
    </row>
    <row r="324">
      <c r="B324" s="37"/>
      <c r="C324" s="38"/>
    </row>
    <row r="325">
      <c r="B325" s="37"/>
      <c r="C325" s="38"/>
    </row>
    <row r="326">
      <c r="B326" s="37"/>
      <c r="C326" s="38"/>
    </row>
    <row r="327">
      <c r="B327" s="37"/>
      <c r="C327" s="38"/>
    </row>
    <row r="328">
      <c r="B328" s="37"/>
      <c r="C328" s="38"/>
    </row>
    <row r="329">
      <c r="B329" s="37"/>
      <c r="C329" s="38"/>
    </row>
    <row r="330">
      <c r="B330" s="37"/>
      <c r="C330" s="38"/>
    </row>
    <row r="331">
      <c r="B331" s="37"/>
      <c r="C331" s="38"/>
    </row>
    <row r="332">
      <c r="B332" s="37"/>
      <c r="C332" s="38"/>
    </row>
    <row r="333">
      <c r="B333" s="37"/>
      <c r="C333" s="38"/>
    </row>
    <row r="334">
      <c r="B334" s="37"/>
      <c r="C334" s="38"/>
    </row>
    <row r="335">
      <c r="B335" s="37"/>
      <c r="C335" s="38"/>
    </row>
    <row r="336">
      <c r="B336" s="37"/>
      <c r="C336" s="38"/>
    </row>
    <row r="337">
      <c r="B337" s="37"/>
      <c r="C337" s="38"/>
    </row>
    <row r="338">
      <c r="B338" s="37"/>
      <c r="C338" s="38"/>
    </row>
    <row r="339">
      <c r="B339" s="37"/>
      <c r="C339" s="38"/>
    </row>
    <row r="340">
      <c r="B340" s="37"/>
      <c r="C340" s="38"/>
    </row>
    <row r="341">
      <c r="B341" s="37"/>
      <c r="C341" s="38"/>
    </row>
    <row r="342">
      <c r="B342" s="37"/>
      <c r="C342" s="38"/>
    </row>
    <row r="343">
      <c r="B343" s="37"/>
      <c r="C343" s="38"/>
    </row>
    <row r="344">
      <c r="B344" s="37"/>
      <c r="C344" s="38"/>
    </row>
    <row r="345">
      <c r="B345" s="37"/>
      <c r="C345" s="38"/>
    </row>
    <row r="346">
      <c r="B346" s="37"/>
      <c r="C346" s="38"/>
    </row>
    <row r="347">
      <c r="B347" s="37"/>
      <c r="C347" s="38"/>
    </row>
    <row r="348">
      <c r="B348" s="37"/>
      <c r="C348" s="38"/>
    </row>
    <row r="349">
      <c r="B349" s="37"/>
      <c r="C349" s="38"/>
    </row>
    <row r="350">
      <c r="B350" s="37"/>
      <c r="C350" s="38"/>
    </row>
    <row r="351">
      <c r="B351" s="37"/>
      <c r="C351" s="38"/>
    </row>
    <row r="352">
      <c r="B352" s="37"/>
      <c r="C352" s="38"/>
    </row>
    <row r="353">
      <c r="B353" s="37"/>
      <c r="C353" s="38"/>
    </row>
    <row r="354">
      <c r="B354" s="37"/>
      <c r="C354" s="38"/>
    </row>
    <row r="355">
      <c r="B355" s="37"/>
      <c r="C355" s="38"/>
    </row>
    <row r="356">
      <c r="B356" s="37"/>
      <c r="C356" s="38"/>
    </row>
    <row r="357">
      <c r="B357" s="37"/>
      <c r="C357" s="38"/>
    </row>
    <row r="358">
      <c r="B358" s="37"/>
      <c r="C358" s="38"/>
    </row>
    <row r="359">
      <c r="B359" s="37"/>
      <c r="C359" s="38"/>
    </row>
    <row r="360">
      <c r="B360" s="37"/>
      <c r="C360" s="38"/>
    </row>
    <row r="361">
      <c r="B361" s="37"/>
      <c r="C361" s="38"/>
    </row>
    <row r="362">
      <c r="B362" s="37"/>
      <c r="C362" s="38"/>
    </row>
    <row r="363">
      <c r="B363" s="37"/>
      <c r="C363" s="38"/>
    </row>
    <row r="364">
      <c r="B364" s="37"/>
      <c r="C364" s="38"/>
    </row>
    <row r="365">
      <c r="B365" s="37"/>
      <c r="C365" s="38"/>
    </row>
    <row r="366">
      <c r="B366" s="37"/>
      <c r="C366" s="38"/>
    </row>
    <row r="367">
      <c r="B367" s="37"/>
      <c r="C367" s="38"/>
    </row>
    <row r="368">
      <c r="B368" s="37"/>
      <c r="C368" s="38"/>
    </row>
    <row r="369">
      <c r="B369" s="37"/>
      <c r="C369" s="38"/>
    </row>
    <row r="370">
      <c r="B370" s="37"/>
      <c r="C370" s="38"/>
    </row>
    <row r="371">
      <c r="B371" s="37"/>
      <c r="C371" s="38"/>
    </row>
    <row r="372">
      <c r="B372" s="37"/>
      <c r="C372" s="38"/>
    </row>
    <row r="373">
      <c r="B373" s="37"/>
      <c r="C373" s="38"/>
    </row>
    <row r="374">
      <c r="B374" s="37"/>
      <c r="C374" s="38"/>
    </row>
    <row r="375">
      <c r="B375" s="37"/>
      <c r="C375" s="38"/>
    </row>
    <row r="376">
      <c r="B376" s="37"/>
      <c r="C376" s="38"/>
    </row>
    <row r="377">
      <c r="B377" s="37"/>
      <c r="C377" s="38"/>
    </row>
    <row r="378">
      <c r="B378" s="37"/>
      <c r="C378" s="38"/>
    </row>
    <row r="379">
      <c r="B379" s="37"/>
      <c r="C379" s="38"/>
    </row>
    <row r="380">
      <c r="B380" s="37"/>
      <c r="C380" s="38"/>
    </row>
    <row r="381">
      <c r="B381" s="37"/>
      <c r="C381" s="38"/>
    </row>
    <row r="382">
      <c r="B382" s="37"/>
      <c r="C382" s="38"/>
    </row>
    <row r="383">
      <c r="B383" s="37"/>
      <c r="C383" s="38"/>
    </row>
    <row r="384">
      <c r="B384" s="37"/>
      <c r="C384" s="38"/>
    </row>
    <row r="385">
      <c r="B385" s="37"/>
      <c r="C385" s="38"/>
    </row>
    <row r="386">
      <c r="B386" s="37"/>
      <c r="C386" s="38"/>
    </row>
    <row r="387">
      <c r="B387" s="37"/>
      <c r="C387" s="38"/>
    </row>
    <row r="388">
      <c r="B388" s="37"/>
      <c r="C388" s="38"/>
    </row>
    <row r="389">
      <c r="B389" s="37"/>
      <c r="C389" s="38"/>
    </row>
    <row r="390">
      <c r="B390" s="37"/>
      <c r="C390" s="38"/>
    </row>
    <row r="391">
      <c r="B391" s="37"/>
      <c r="C391" s="38"/>
    </row>
    <row r="392">
      <c r="B392" s="37"/>
      <c r="C392" s="38"/>
    </row>
    <row r="393">
      <c r="B393" s="37"/>
      <c r="C393" s="38"/>
    </row>
    <row r="394">
      <c r="B394" s="37"/>
      <c r="C394" s="38"/>
    </row>
    <row r="395">
      <c r="B395" s="37"/>
      <c r="C395" s="38"/>
    </row>
    <row r="396">
      <c r="B396" s="37"/>
      <c r="C396" s="38"/>
    </row>
    <row r="397">
      <c r="B397" s="37"/>
      <c r="C397" s="38"/>
    </row>
    <row r="398">
      <c r="B398" s="37"/>
      <c r="C398" s="38"/>
    </row>
    <row r="399">
      <c r="B399" s="37"/>
      <c r="C399" s="38"/>
    </row>
    <row r="400">
      <c r="B400" s="37"/>
      <c r="C400" s="38"/>
    </row>
    <row r="401">
      <c r="B401" s="37"/>
      <c r="C401" s="38"/>
    </row>
    <row r="402">
      <c r="B402" s="37"/>
      <c r="C402" s="38"/>
    </row>
    <row r="403">
      <c r="B403" s="37"/>
      <c r="C403" s="38"/>
    </row>
    <row r="404">
      <c r="B404" s="37"/>
      <c r="C404" s="38"/>
    </row>
    <row r="405">
      <c r="B405" s="37"/>
      <c r="C405" s="38"/>
    </row>
    <row r="406">
      <c r="B406" s="37"/>
      <c r="C406" s="38"/>
    </row>
    <row r="407">
      <c r="B407" s="37"/>
      <c r="C407" s="38"/>
    </row>
    <row r="408">
      <c r="B408" s="37"/>
      <c r="C408" s="38"/>
    </row>
    <row r="409">
      <c r="B409" s="37"/>
      <c r="C409" s="38"/>
    </row>
    <row r="410">
      <c r="B410" s="37"/>
      <c r="C410" s="38"/>
    </row>
    <row r="411">
      <c r="B411" s="37"/>
      <c r="C411" s="38"/>
    </row>
    <row r="412">
      <c r="B412" s="37"/>
      <c r="C412" s="38"/>
    </row>
    <row r="413">
      <c r="B413" s="37"/>
      <c r="C413" s="38"/>
    </row>
    <row r="414">
      <c r="B414" s="37"/>
      <c r="C414" s="38"/>
    </row>
    <row r="415">
      <c r="B415" s="37"/>
      <c r="C415" s="38"/>
    </row>
    <row r="416">
      <c r="B416" s="37"/>
      <c r="C416" s="38"/>
    </row>
    <row r="417">
      <c r="B417" s="37"/>
      <c r="C417" s="38"/>
    </row>
    <row r="418">
      <c r="B418" s="37"/>
      <c r="C418" s="38"/>
    </row>
    <row r="419">
      <c r="B419" s="37"/>
      <c r="C419" s="38"/>
    </row>
    <row r="420">
      <c r="B420" s="37"/>
      <c r="C420" s="38"/>
    </row>
    <row r="421">
      <c r="B421" s="37"/>
      <c r="C421" s="38"/>
    </row>
    <row r="422">
      <c r="B422" s="37"/>
      <c r="C422" s="38"/>
    </row>
    <row r="423">
      <c r="B423" s="37"/>
      <c r="C423" s="38"/>
    </row>
    <row r="424">
      <c r="B424" s="37"/>
      <c r="C424" s="38"/>
    </row>
    <row r="425">
      <c r="B425" s="37"/>
      <c r="C425" s="38"/>
    </row>
    <row r="426">
      <c r="B426" s="37"/>
      <c r="C426" s="38"/>
    </row>
    <row r="427">
      <c r="B427" s="37"/>
      <c r="C427" s="38"/>
    </row>
    <row r="428">
      <c r="B428" s="37"/>
      <c r="C428" s="38"/>
    </row>
    <row r="429">
      <c r="B429" s="37"/>
      <c r="C429" s="38"/>
    </row>
    <row r="430">
      <c r="B430" s="37"/>
      <c r="C430" s="38"/>
    </row>
    <row r="431">
      <c r="B431" s="37"/>
      <c r="C431" s="38"/>
    </row>
    <row r="432">
      <c r="B432" s="37"/>
      <c r="C432" s="38"/>
    </row>
    <row r="433">
      <c r="B433" s="37"/>
      <c r="C433" s="38"/>
    </row>
    <row r="434">
      <c r="B434" s="37"/>
      <c r="C434" s="38"/>
    </row>
    <row r="435">
      <c r="B435" s="37"/>
      <c r="C435" s="38"/>
    </row>
    <row r="436">
      <c r="B436" s="37"/>
      <c r="C436" s="38"/>
    </row>
    <row r="437">
      <c r="B437" s="37"/>
      <c r="C437" s="38"/>
    </row>
    <row r="438">
      <c r="B438" s="37"/>
      <c r="C438" s="38"/>
    </row>
    <row r="439">
      <c r="B439" s="37"/>
      <c r="C439" s="38"/>
    </row>
    <row r="440">
      <c r="B440" s="37"/>
      <c r="C440" s="38"/>
    </row>
    <row r="441">
      <c r="B441" s="37"/>
      <c r="C441" s="38"/>
    </row>
    <row r="442">
      <c r="B442" s="37"/>
      <c r="C442" s="38"/>
    </row>
    <row r="443">
      <c r="B443" s="37"/>
      <c r="C443" s="38"/>
    </row>
    <row r="444">
      <c r="B444" s="37"/>
      <c r="C444" s="38"/>
    </row>
    <row r="445">
      <c r="B445" s="37"/>
      <c r="C445" s="38"/>
    </row>
    <row r="446">
      <c r="B446" s="37"/>
      <c r="C446" s="38"/>
    </row>
    <row r="447">
      <c r="B447" s="37"/>
      <c r="C447" s="38"/>
    </row>
    <row r="448">
      <c r="B448" s="37"/>
      <c r="C448" s="38"/>
    </row>
    <row r="449">
      <c r="B449" s="37"/>
      <c r="C449" s="38"/>
    </row>
    <row r="450">
      <c r="B450" s="37"/>
      <c r="C450" s="38"/>
    </row>
    <row r="451">
      <c r="B451" s="37"/>
      <c r="C451" s="38"/>
    </row>
    <row r="452">
      <c r="B452" s="37"/>
      <c r="C452" s="38"/>
    </row>
    <row r="453">
      <c r="B453" s="37"/>
      <c r="C453" s="38"/>
    </row>
    <row r="454">
      <c r="B454" s="37"/>
      <c r="C454" s="38"/>
    </row>
    <row r="455">
      <c r="B455" s="37"/>
      <c r="C455" s="38"/>
    </row>
    <row r="456">
      <c r="B456" s="37"/>
      <c r="C456" s="38"/>
    </row>
    <row r="457">
      <c r="B457" s="37"/>
      <c r="C457" s="38"/>
    </row>
    <row r="458">
      <c r="B458" s="37"/>
      <c r="C458" s="38"/>
    </row>
    <row r="459">
      <c r="B459" s="37"/>
      <c r="C459" s="38"/>
    </row>
    <row r="460">
      <c r="B460" s="37"/>
      <c r="C460" s="38"/>
    </row>
    <row r="461">
      <c r="B461" s="37"/>
      <c r="C461" s="38"/>
    </row>
    <row r="462">
      <c r="B462" s="37"/>
      <c r="C462" s="38"/>
    </row>
    <row r="463">
      <c r="B463" s="37"/>
      <c r="C463" s="38"/>
    </row>
    <row r="464">
      <c r="B464" s="37"/>
      <c r="C464" s="38"/>
    </row>
    <row r="465">
      <c r="B465" s="37"/>
      <c r="C465" s="38"/>
    </row>
    <row r="466">
      <c r="B466" s="37"/>
      <c r="C466" s="38"/>
    </row>
    <row r="467">
      <c r="B467" s="37"/>
      <c r="C467" s="38"/>
    </row>
    <row r="468">
      <c r="B468" s="37"/>
      <c r="C468" s="38"/>
    </row>
    <row r="469">
      <c r="B469" s="37"/>
      <c r="C469" s="38"/>
    </row>
    <row r="470">
      <c r="B470" s="37"/>
      <c r="C470" s="38"/>
    </row>
    <row r="471">
      <c r="B471" s="37"/>
      <c r="C471" s="38"/>
    </row>
    <row r="472">
      <c r="B472" s="37"/>
      <c r="C472" s="38"/>
    </row>
    <row r="473">
      <c r="B473" s="37"/>
      <c r="C473" s="38"/>
    </row>
    <row r="474">
      <c r="B474" s="37"/>
      <c r="C474" s="38"/>
    </row>
    <row r="475">
      <c r="B475" s="37"/>
      <c r="C475" s="38"/>
    </row>
    <row r="476">
      <c r="B476" s="37"/>
      <c r="C476" s="38"/>
    </row>
    <row r="477">
      <c r="B477" s="37"/>
      <c r="C477" s="38"/>
    </row>
    <row r="478">
      <c r="B478" s="37"/>
      <c r="C478" s="38"/>
    </row>
    <row r="479">
      <c r="B479" s="37"/>
      <c r="C479" s="38"/>
    </row>
    <row r="480">
      <c r="B480" s="37"/>
      <c r="C480" s="38"/>
    </row>
    <row r="481">
      <c r="B481" s="37"/>
      <c r="C481" s="38"/>
    </row>
    <row r="482">
      <c r="B482" s="37"/>
      <c r="C482" s="38"/>
    </row>
    <row r="483">
      <c r="B483" s="37"/>
      <c r="C483" s="38"/>
    </row>
    <row r="484">
      <c r="B484" s="37"/>
      <c r="C484" s="38"/>
    </row>
    <row r="485">
      <c r="B485" s="37"/>
      <c r="C485" s="38"/>
    </row>
    <row r="486">
      <c r="B486" s="37"/>
      <c r="C486" s="38"/>
    </row>
    <row r="487">
      <c r="B487" s="37"/>
      <c r="C487" s="38"/>
    </row>
    <row r="488">
      <c r="B488" s="37"/>
      <c r="C488" s="38"/>
    </row>
    <row r="489">
      <c r="B489" s="37"/>
      <c r="C489" s="38"/>
    </row>
    <row r="490">
      <c r="B490" s="37"/>
      <c r="C490" s="38"/>
    </row>
    <row r="491">
      <c r="B491" s="37"/>
      <c r="C491" s="38"/>
    </row>
    <row r="492">
      <c r="B492" s="37"/>
      <c r="C492" s="38"/>
    </row>
    <row r="493">
      <c r="B493" s="37"/>
      <c r="C493" s="38"/>
    </row>
    <row r="494">
      <c r="B494" s="37"/>
      <c r="C494" s="38"/>
    </row>
    <row r="495">
      <c r="B495" s="37"/>
      <c r="C495" s="38"/>
    </row>
    <row r="496">
      <c r="B496" s="37"/>
      <c r="C496" s="38"/>
    </row>
    <row r="497">
      <c r="B497" s="37"/>
      <c r="C497" s="38"/>
    </row>
    <row r="498">
      <c r="B498" s="37"/>
      <c r="C498" s="38"/>
    </row>
    <row r="499">
      <c r="B499" s="37"/>
      <c r="C499" s="38"/>
    </row>
    <row r="500">
      <c r="B500" s="37"/>
      <c r="C500" s="38"/>
    </row>
    <row r="501">
      <c r="B501" s="37"/>
      <c r="C501" s="38"/>
    </row>
    <row r="502">
      <c r="B502" s="37"/>
      <c r="C502" s="38"/>
    </row>
    <row r="503">
      <c r="B503" s="37"/>
      <c r="C503" s="38"/>
    </row>
    <row r="504">
      <c r="B504" s="37"/>
      <c r="C504" s="38"/>
    </row>
    <row r="505">
      <c r="B505" s="37"/>
      <c r="C505" s="38"/>
    </row>
    <row r="506">
      <c r="B506" s="37"/>
      <c r="C506" s="38"/>
    </row>
    <row r="507">
      <c r="B507" s="37"/>
      <c r="C507" s="38"/>
    </row>
    <row r="508">
      <c r="B508" s="37"/>
      <c r="C508" s="38"/>
    </row>
    <row r="509">
      <c r="B509" s="37"/>
      <c r="C509" s="38"/>
    </row>
    <row r="510">
      <c r="B510" s="37"/>
      <c r="C510" s="38"/>
    </row>
    <row r="511">
      <c r="B511" s="37"/>
      <c r="C511" s="38"/>
    </row>
    <row r="512">
      <c r="B512" s="37"/>
      <c r="C512" s="38"/>
    </row>
    <row r="513">
      <c r="B513" s="37"/>
      <c r="C513" s="38"/>
    </row>
    <row r="514">
      <c r="B514" s="37"/>
      <c r="C514" s="38"/>
    </row>
    <row r="515">
      <c r="B515" s="37"/>
      <c r="C515" s="38"/>
    </row>
    <row r="516">
      <c r="B516" s="37"/>
      <c r="C516" s="38"/>
    </row>
    <row r="517">
      <c r="B517" s="37"/>
      <c r="C517" s="38"/>
    </row>
    <row r="518">
      <c r="B518" s="37"/>
      <c r="C518" s="38"/>
    </row>
    <row r="519">
      <c r="B519" s="37"/>
      <c r="C519" s="38"/>
    </row>
    <row r="520">
      <c r="B520" s="37"/>
      <c r="C520" s="38"/>
    </row>
    <row r="521">
      <c r="B521" s="37"/>
      <c r="C521" s="38"/>
    </row>
    <row r="522">
      <c r="B522" s="37"/>
      <c r="C522" s="38"/>
    </row>
    <row r="523">
      <c r="B523" s="37"/>
      <c r="C523" s="38"/>
    </row>
    <row r="524">
      <c r="B524" s="37"/>
      <c r="C524" s="38"/>
    </row>
    <row r="525">
      <c r="B525" s="37"/>
      <c r="C525" s="38"/>
    </row>
    <row r="526">
      <c r="B526" s="37"/>
      <c r="C526" s="38"/>
    </row>
    <row r="527">
      <c r="B527" s="37"/>
      <c r="C527" s="38"/>
    </row>
    <row r="528">
      <c r="B528" s="37"/>
      <c r="C528" s="38"/>
    </row>
    <row r="529">
      <c r="B529" s="37"/>
      <c r="C529" s="38"/>
    </row>
    <row r="530">
      <c r="B530" s="37"/>
      <c r="C530" s="38"/>
    </row>
    <row r="531">
      <c r="B531" s="37"/>
      <c r="C531" s="38"/>
    </row>
    <row r="532">
      <c r="B532" s="37"/>
      <c r="C532" s="38"/>
    </row>
    <row r="533">
      <c r="B533" s="37"/>
      <c r="C533" s="38"/>
    </row>
    <row r="534">
      <c r="B534" s="37"/>
      <c r="C534" s="38"/>
    </row>
    <row r="535">
      <c r="B535" s="37"/>
      <c r="C535" s="38"/>
    </row>
    <row r="536">
      <c r="B536" s="37"/>
      <c r="C536" s="38"/>
    </row>
    <row r="537">
      <c r="B537" s="37"/>
      <c r="C537" s="38"/>
    </row>
    <row r="538">
      <c r="B538" s="37"/>
      <c r="C538" s="38"/>
    </row>
    <row r="539">
      <c r="B539" s="37"/>
      <c r="C539" s="38"/>
    </row>
    <row r="540">
      <c r="B540" s="37"/>
      <c r="C540" s="38"/>
    </row>
    <row r="541">
      <c r="B541" s="37"/>
      <c r="C541" s="38"/>
    </row>
    <row r="542">
      <c r="B542" s="37"/>
      <c r="C542" s="38"/>
    </row>
    <row r="543">
      <c r="B543" s="37"/>
      <c r="C543" s="38"/>
    </row>
    <row r="544">
      <c r="B544" s="37"/>
      <c r="C544" s="38"/>
    </row>
    <row r="545">
      <c r="B545" s="37"/>
      <c r="C545" s="38"/>
    </row>
    <row r="546">
      <c r="B546" s="37"/>
      <c r="C546" s="38"/>
    </row>
    <row r="547">
      <c r="B547" s="37"/>
      <c r="C547" s="38"/>
    </row>
    <row r="548">
      <c r="B548" s="37"/>
      <c r="C548" s="38"/>
    </row>
    <row r="549">
      <c r="B549" s="37"/>
      <c r="C549" s="38"/>
    </row>
    <row r="550">
      <c r="B550" s="37"/>
      <c r="C550" s="38"/>
    </row>
    <row r="551">
      <c r="B551" s="37"/>
      <c r="C551" s="38"/>
    </row>
    <row r="552">
      <c r="B552" s="37"/>
      <c r="C552" s="38"/>
    </row>
    <row r="553">
      <c r="B553" s="37"/>
      <c r="C553" s="38"/>
    </row>
    <row r="554">
      <c r="B554" s="37"/>
      <c r="C554" s="38"/>
    </row>
    <row r="555">
      <c r="B555" s="37"/>
      <c r="C555" s="38"/>
    </row>
    <row r="556">
      <c r="B556" s="37"/>
      <c r="C556" s="38"/>
    </row>
    <row r="557">
      <c r="B557" s="37"/>
      <c r="C557" s="38"/>
    </row>
    <row r="558">
      <c r="B558" s="37"/>
      <c r="C558" s="38"/>
    </row>
    <row r="559">
      <c r="B559" s="37"/>
      <c r="C559" s="38"/>
    </row>
    <row r="560">
      <c r="B560" s="37"/>
      <c r="C560" s="38"/>
    </row>
    <row r="561">
      <c r="B561" s="37"/>
      <c r="C561" s="38"/>
    </row>
    <row r="562">
      <c r="B562" s="37"/>
      <c r="C562" s="38"/>
    </row>
    <row r="563">
      <c r="B563" s="37"/>
      <c r="C563" s="38"/>
    </row>
    <row r="564">
      <c r="B564" s="37"/>
      <c r="C564" s="38"/>
    </row>
    <row r="565">
      <c r="B565" s="37"/>
      <c r="C565" s="38"/>
    </row>
    <row r="566">
      <c r="B566" s="37"/>
      <c r="C566" s="38"/>
    </row>
    <row r="567">
      <c r="B567" s="37"/>
      <c r="C567" s="38"/>
    </row>
    <row r="568">
      <c r="B568" s="37"/>
      <c r="C568" s="38"/>
    </row>
    <row r="569">
      <c r="B569" s="37"/>
      <c r="C569" s="38"/>
    </row>
    <row r="570">
      <c r="B570" s="37"/>
      <c r="C570" s="38"/>
    </row>
    <row r="571">
      <c r="B571" s="37"/>
      <c r="C571" s="38"/>
    </row>
    <row r="572">
      <c r="B572" s="37"/>
      <c r="C572" s="38"/>
    </row>
    <row r="573">
      <c r="B573" s="37"/>
      <c r="C573" s="38"/>
    </row>
    <row r="574">
      <c r="B574" s="37"/>
      <c r="C574" s="38"/>
    </row>
    <row r="575">
      <c r="B575" s="37"/>
      <c r="C575" s="38"/>
    </row>
    <row r="576">
      <c r="B576" s="37"/>
      <c r="C576" s="38"/>
    </row>
    <row r="577">
      <c r="B577" s="37"/>
      <c r="C577" s="38"/>
    </row>
    <row r="578">
      <c r="B578" s="37"/>
      <c r="C578" s="38"/>
    </row>
    <row r="579">
      <c r="B579" s="37"/>
      <c r="C579" s="38"/>
    </row>
    <row r="580">
      <c r="B580" s="37"/>
      <c r="C580" s="38"/>
    </row>
    <row r="581">
      <c r="B581" s="37"/>
      <c r="C581" s="38"/>
    </row>
    <row r="582">
      <c r="B582" s="37"/>
      <c r="C582" s="38"/>
    </row>
    <row r="583">
      <c r="B583" s="37"/>
      <c r="C583" s="38"/>
    </row>
    <row r="584">
      <c r="B584" s="37"/>
      <c r="C584" s="38"/>
    </row>
    <row r="585">
      <c r="B585" s="37"/>
      <c r="C585" s="38"/>
    </row>
    <row r="586">
      <c r="B586" s="37"/>
      <c r="C586" s="38"/>
    </row>
    <row r="587">
      <c r="B587" s="37"/>
      <c r="C587" s="38"/>
    </row>
    <row r="588">
      <c r="B588" s="37"/>
      <c r="C588" s="38"/>
    </row>
    <row r="589">
      <c r="B589" s="37"/>
      <c r="C589" s="38"/>
    </row>
    <row r="590">
      <c r="B590" s="37"/>
      <c r="C590" s="38"/>
    </row>
    <row r="591">
      <c r="B591" s="37"/>
      <c r="C591" s="38"/>
    </row>
    <row r="592">
      <c r="B592" s="37"/>
      <c r="C592" s="38"/>
    </row>
    <row r="593">
      <c r="B593" s="37"/>
      <c r="C593" s="38"/>
    </row>
    <row r="594">
      <c r="B594" s="37"/>
      <c r="C594" s="38"/>
    </row>
    <row r="595">
      <c r="B595" s="37"/>
      <c r="C595" s="38"/>
    </row>
    <row r="596">
      <c r="B596" s="37"/>
      <c r="C596" s="38"/>
    </row>
    <row r="597">
      <c r="B597" s="37"/>
      <c r="C597" s="38"/>
    </row>
    <row r="598">
      <c r="B598" s="37"/>
      <c r="C598" s="38"/>
    </row>
    <row r="599">
      <c r="B599" s="37"/>
      <c r="C599" s="38"/>
    </row>
    <row r="600">
      <c r="B600" s="37"/>
      <c r="C600" s="38"/>
    </row>
    <row r="601">
      <c r="B601" s="37"/>
      <c r="C601" s="38"/>
    </row>
    <row r="602">
      <c r="B602" s="37"/>
      <c r="C602" s="38"/>
    </row>
    <row r="603">
      <c r="B603" s="37"/>
      <c r="C603" s="38"/>
    </row>
    <row r="604">
      <c r="B604" s="37"/>
      <c r="C604" s="38"/>
    </row>
    <row r="605">
      <c r="B605" s="37"/>
      <c r="C605" s="38"/>
    </row>
    <row r="606">
      <c r="B606" s="37"/>
      <c r="C606" s="38"/>
    </row>
    <row r="607">
      <c r="B607" s="37"/>
      <c r="C607" s="38"/>
    </row>
    <row r="608">
      <c r="B608" s="37"/>
      <c r="C608" s="38"/>
    </row>
    <row r="609">
      <c r="B609" s="37"/>
      <c r="C609" s="38"/>
    </row>
    <row r="610">
      <c r="B610" s="37"/>
      <c r="C610" s="38"/>
    </row>
    <row r="611">
      <c r="B611" s="37"/>
      <c r="C611" s="38"/>
    </row>
    <row r="612">
      <c r="B612" s="37"/>
      <c r="C612" s="38"/>
    </row>
    <row r="613">
      <c r="B613" s="37"/>
      <c r="C613" s="38"/>
    </row>
    <row r="614">
      <c r="B614" s="37"/>
      <c r="C614" s="38"/>
    </row>
    <row r="615">
      <c r="B615" s="37"/>
      <c r="C615" s="38"/>
    </row>
    <row r="616">
      <c r="B616" s="37"/>
      <c r="C616" s="38"/>
    </row>
    <row r="617">
      <c r="B617" s="37"/>
      <c r="C617" s="38"/>
    </row>
    <row r="618">
      <c r="B618" s="37"/>
      <c r="C618" s="38"/>
    </row>
    <row r="619">
      <c r="B619" s="37"/>
      <c r="C619" s="38"/>
    </row>
    <row r="620">
      <c r="B620" s="37"/>
      <c r="C620" s="38"/>
    </row>
    <row r="621">
      <c r="B621" s="37"/>
      <c r="C621" s="38"/>
    </row>
    <row r="622">
      <c r="B622" s="37"/>
      <c r="C622" s="38"/>
    </row>
    <row r="623">
      <c r="B623" s="37"/>
      <c r="C623" s="38"/>
    </row>
    <row r="624">
      <c r="B624" s="37"/>
      <c r="C624" s="38"/>
    </row>
    <row r="625">
      <c r="B625" s="37"/>
      <c r="C625" s="38"/>
    </row>
    <row r="626">
      <c r="B626" s="37"/>
      <c r="C626" s="38"/>
    </row>
    <row r="627">
      <c r="B627" s="37"/>
      <c r="C627" s="38"/>
    </row>
    <row r="628">
      <c r="B628" s="37"/>
      <c r="C628" s="38"/>
    </row>
    <row r="629">
      <c r="B629" s="37"/>
      <c r="C629" s="38"/>
    </row>
    <row r="630">
      <c r="B630" s="37"/>
      <c r="C630" s="38"/>
    </row>
    <row r="631">
      <c r="B631" s="37"/>
      <c r="C631" s="38"/>
    </row>
    <row r="632">
      <c r="B632" s="37"/>
      <c r="C632" s="38"/>
    </row>
    <row r="633">
      <c r="B633" s="37"/>
      <c r="C633" s="38"/>
    </row>
    <row r="634">
      <c r="B634" s="37"/>
      <c r="C634" s="38"/>
    </row>
    <row r="635">
      <c r="B635" s="37"/>
      <c r="C635" s="38"/>
    </row>
    <row r="636">
      <c r="B636" s="37"/>
      <c r="C636" s="38"/>
    </row>
    <row r="637">
      <c r="B637" s="37"/>
      <c r="C637" s="38"/>
    </row>
    <row r="638">
      <c r="B638" s="37"/>
      <c r="C638" s="38"/>
    </row>
    <row r="639">
      <c r="B639" s="37"/>
      <c r="C639" s="38"/>
    </row>
    <row r="640">
      <c r="B640" s="37"/>
      <c r="C640" s="38"/>
    </row>
    <row r="641">
      <c r="B641" s="37"/>
      <c r="C641" s="38"/>
    </row>
    <row r="642">
      <c r="B642" s="37"/>
      <c r="C642" s="38"/>
    </row>
    <row r="643">
      <c r="B643" s="37"/>
      <c r="C643" s="38"/>
    </row>
    <row r="644">
      <c r="B644" s="37"/>
      <c r="C644" s="38"/>
    </row>
    <row r="645">
      <c r="B645" s="37"/>
      <c r="C645" s="38"/>
    </row>
    <row r="646">
      <c r="B646" s="37"/>
      <c r="C646" s="38"/>
    </row>
    <row r="647">
      <c r="B647" s="37"/>
      <c r="C647" s="38"/>
    </row>
    <row r="648">
      <c r="B648" s="37"/>
      <c r="C648" s="38"/>
    </row>
    <row r="649">
      <c r="B649" s="37"/>
      <c r="C649" s="38"/>
    </row>
    <row r="650">
      <c r="B650" s="37"/>
      <c r="C650" s="38"/>
    </row>
    <row r="651">
      <c r="B651" s="37"/>
      <c r="C651" s="38"/>
    </row>
    <row r="652">
      <c r="B652" s="37"/>
      <c r="C652" s="38"/>
    </row>
    <row r="653">
      <c r="B653" s="37"/>
      <c r="C653" s="38"/>
    </row>
    <row r="654">
      <c r="B654" s="37"/>
      <c r="C654" s="38"/>
    </row>
    <row r="655">
      <c r="B655" s="37"/>
      <c r="C655" s="38"/>
    </row>
    <row r="656">
      <c r="B656" s="37"/>
      <c r="C656" s="38"/>
    </row>
    <row r="657">
      <c r="B657" s="37"/>
      <c r="C657" s="38"/>
    </row>
    <row r="658">
      <c r="B658" s="37"/>
      <c r="C658" s="38"/>
    </row>
    <row r="659">
      <c r="B659" s="37"/>
      <c r="C659" s="38"/>
    </row>
    <row r="660">
      <c r="B660" s="37"/>
      <c r="C660" s="38"/>
    </row>
    <row r="661">
      <c r="B661" s="37"/>
      <c r="C661" s="38"/>
    </row>
    <row r="662">
      <c r="B662" s="37"/>
      <c r="C662" s="38"/>
    </row>
    <row r="663">
      <c r="B663" s="37"/>
      <c r="C663" s="38"/>
    </row>
    <row r="664">
      <c r="B664" s="37"/>
      <c r="C664" s="38"/>
    </row>
    <row r="665">
      <c r="B665" s="37"/>
      <c r="C665" s="38"/>
    </row>
    <row r="666">
      <c r="B666" s="37"/>
      <c r="C666" s="38"/>
    </row>
    <row r="667">
      <c r="B667" s="37"/>
      <c r="C667" s="38"/>
    </row>
    <row r="668">
      <c r="B668" s="37"/>
      <c r="C668" s="38"/>
    </row>
    <row r="669">
      <c r="B669" s="37"/>
      <c r="C669" s="38"/>
    </row>
    <row r="670">
      <c r="B670" s="37"/>
      <c r="C670" s="38"/>
    </row>
    <row r="671">
      <c r="B671" s="37"/>
      <c r="C671" s="38"/>
    </row>
    <row r="672">
      <c r="B672" s="37"/>
      <c r="C672" s="38"/>
    </row>
    <row r="673">
      <c r="B673" s="37"/>
      <c r="C673" s="38"/>
    </row>
    <row r="674">
      <c r="B674" s="37"/>
      <c r="C674" s="38"/>
    </row>
    <row r="675">
      <c r="B675" s="37"/>
      <c r="C675" s="38"/>
    </row>
    <row r="676">
      <c r="B676" s="37"/>
      <c r="C676" s="38"/>
    </row>
    <row r="677">
      <c r="B677" s="37"/>
      <c r="C677" s="38"/>
    </row>
    <row r="678">
      <c r="B678" s="37"/>
      <c r="C678" s="38"/>
    </row>
    <row r="679">
      <c r="B679" s="37"/>
      <c r="C679" s="38"/>
    </row>
    <row r="680">
      <c r="B680" s="37"/>
      <c r="C680" s="38"/>
    </row>
    <row r="681">
      <c r="B681" s="37"/>
      <c r="C681" s="38"/>
    </row>
    <row r="682">
      <c r="B682" s="37"/>
      <c r="C682" s="38"/>
    </row>
    <row r="683">
      <c r="B683" s="37"/>
      <c r="C683" s="38"/>
    </row>
    <row r="684">
      <c r="B684" s="37"/>
      <c r="C684" s="38"/>
    </row>
    <row r="685">
      <c r="B685" s="37"/>
      <c r="C685" s="38"/>
    </row>
    <row r="686">
      <c r="B686" s="37"/>
      <c r="C686" s="38"/>
    </row>
    <row r="687">
      <c r="B687" s="37"/>
      <c r="C687" s="38"/>
    </row>
    <row r="688">
      <c r="B688" s="37"/>
      <c r="C688" s="38"/>
    </row>
    <row r="689">
      <c r="B689" s="37"/>
      <c r="C689" s="38"/>
    </row>
    <row r="690">
      <c r="B690" s="37"/>
      <c r="C690" s="38"/>
    </row>
    <row r="691">
      <c r="B691" s="37"/>
      <c r="C691" s="38"/>
    </row>
    <row r="692">
      <c r="B692" s="37"/>
      <c r="C692" s="38"/>
    </row>
    <row r="693">
      <c r="B693" s="37"/>
      <c r="C693" s="38"/>
    </row>
    <row r="694">
      <c r="B694" s="37"/>
      <c r="C694" s="38"/>
    </row>
    <row r="695">
      <c r="B695" s="37"/>
      <c r="C695" s="38"/>
    </row>
    <row r="696">
      <c r="B696" s="37"/>
      <c r="C696" s="38"/>
    </row>
    <row r="697">
      <c r="B697" s="37"/>
      <c r="C697" s="38"/>
    </row>
    <row r="698">
      <c r="B698" s="37"/>
      <c r="C698" s="38"/>
    </row>
    <row r="699">
      <c r="B699" s="37"/>
      <c r="C699" s="38"/>
    </row>
    <row r="700">
      <c r="B700" s="37"/>
      <c r="C700" s="38"/>
    </row>
    <row r="701">
      <c r="B701" s="37"/>
      <c r="C701" s="38"/>
    </row>
    <row r="702">
      <c r="B702" s="37"/>
      <c r="C702" s="38"/>
    </row>
    <row r="703">
      <c r="B703" s="37"/>
      <c r="C703" s="38"/>
    </row>
    <row r="704">
      <c r="B704" s="37"/>
      <c r="C704" s="38"/>
    </row>
    <row r="705">
      <c r="B705" s="37"/>
      <c r="C705" s="38"/>
    </row>
    <row r="706">
      <c r="B706" s="37"/>
      <c r="C706" s="38"/>
    </row>
    <row r="707">
      <c r="B707" s="37"/>
      <c r="C707" s="38"/>
    </row>
    <row r="708">
      <c r="B708" s="37"/>
      <c r="C708" s="38"/>
    </row>
    <row r="709">
      <c r="B709" s="37"/>
      <c r="C709" s="38"/>
    </row>
    <row r="710">
      <c r="B710" s="37"/>
      <c r="C710" s="38"/>
    </row>
    <row r="711">
      <c r="B711" s="37"/>
      <c r="C711" s="38"/>
    </row>
    <row r="712">
      <c r="B712" s="37"/>
      <c r="C712" s="38"/>
    </row>
    <row r="713">
      <c r="B713" s="37"/>
      <c r="C713" s="38"/>
    </row>
    <row r="714">
      <c r="B714" s="37"/>
      <c r="C714" s="38"/>
    </row>
    <row r="715">
      <c r="B715" s="37"/>
      <c r="C715" s="38"/>
    </row>
    <row r="716">
      <c r="B716" s="37"/>
      <c r="C716" s="38"/>
    </row>
    <row r="717">
      <c r="B717" s="37"/>
      <c r="C717" s="38"/>
    </row>
    <row r="718">
      <c r="B718" s="37"/>
      <c r="C718" s="38"/>
    </row>
    <row r="719">
      <c r="B719" s="37"/>
      <c r="C719" s="38"/>
    </row>
    <row r="720">
      <c r="B720" s="37"/>
      <c r="C720" s="38"/>
    </row>
    <row r="721">
      <c r="B721" s="37"/>
      <c r="C721" s="38"/>
    </row>
    <row r="722">
      <c r="B722" s="37"/>
      <c r="C722" s="38"/>
    </row>
    <row r="723">
      <c r="B723" s="37"/>
      <c r="C723" s="38"/>
    </row>
    <row r="724">
      <c r="B724" s="37"/>
      <c r="C724" s="38"/>
    </row>
    <row r="725">
      <c r="B725" s="37"/>
      <c r="C725" s="38"/>
    </row>
    <row r="726">
      <c r="B726" s="37"/>
      <c r="C726" s="38"/>
    </row>
    <row r="727">
      <c r="B727" s="37"/>
      <c r="C727" s="38"/>
    </row>
    <row r="728">
      <c r="B728" s="37"/>
      <c r="C728" s="38"/>
    </row>
    <row r="729">
      <c r="B729" s="37"/>
      <c r="C729" s="38"/>
    </row>
    <row r="730">
      <c r="B730" s="37"/>
      <c r="C730" s="38"/>
    </row>
    <row r="731">
      <c r="B731" s="37"/>
      <c r="C731" s="38"/>
    </row>
    <row r="732">
      <c r="B732" s="37"/>
      <c r="C732" s="38"/>
    </row>
    <row r="733">
      <c r="B733" s="37"/>
      <c r="C733" s="38"/>
    </row>
    <row r="734">
      <c r="B734" s="37"/>
      <c r="C734" s="38"/>
    </row>
    <row r="735">
      <c r="B735" s="37"/>
      <c r="C735" s="38"/>
    </row>
    <row r="736">
      <c r="B736" s="37"/>
      <c r="C736" s="38"/>
    </row>
    <row r="737">
      <c r="B737" s="37"/>
      <c r="C737" s="38"/>
    </row>
    <row r="738">
      <c r="B738" s="37"/>
      <c r="C738" s="38"/>
    </row>
    <row r="739">
      <c r="B739" s="37"/>
      <c r="C739" s="38"/>
    </row>
    <row r="740">
      <c r="B740" s="37"/>
      <c r="C740" s="38"/>
    </row>
    <row r="741">
      <c r="B741" s="37"/>
      <c r="C741" s="38"/>
    </row>
    <row r="742">
      <c r="B742" s="37"/>
      <c r="C742" s="38"/>
    </row>
    <row r="743">
      <c r="B743" s="37"/>
      <c r="C743" s="38"/>
    </row>
    <row r="744">
      <c r="B744" s="37"/>
      <c r="C744" s="38"/>
    </row>
    <row r="745">
      <c r="B745" s="37"/>
      <c r="C745" s="38"/>
    </row>
    <row r="746">
      <c r="B746" s="37"/>
      <c r="C746" s="38"/>
    </row>
    <row r="747">
      <c r="B747" s="37"/>
      <c r="C747" s="38"/>
    </row>
    <row r="748">
      <c r="B748" s="37"/>
      <c r="C748" s="38"/>
    </row>
    <row r="749">
      <c r="B749" s="37"/>
      <c r="C749" s="38"/>
    </row>
    <row r="750">
      <c r="B750" s="37"/>
      <c r="C750" s="38"/>
    </row>
    <row r="751">
      <c r="B751" s="37"/>
      <c r="C751" s="38"/>
    </row>
    <row r="752">
      <c r="B752" s="37"/>
      <c r="C752" s="38"/>
    </row>
    <row r="753">
      <c r="B753" s="37"/>
      <c r="C753" s="38"/>
    </row>
    <row r="754">
      <c r="B754" s="37"/>
      <c r="C754" s="38"/>
    </row>
    <row r="755">
      <c r="B755" s="37"/>
      <c r="C755" s="38"/>
    </row>
    <row r="756">
      <c r="B756" s="37"/>
      <c r="C756" s="38"/>
    </row>
    <row r="757">
      <c r="B757" s="37"/>
      <c r="C757" s="38"/>
    </row>
    <row r="758">
      <c r="B758" s="37"/>
      <c r="C758" s="38"/>
    </row>
    <row r="759">
      <c r="B759" s="37"/>
      <c r="C759" s="38"/>
    </row>
    <row r="760">
      <c r="B760" s="37"/>
      <c r="C760" s="38"/>
    </row>
    <row r="761">
      <c r="B761" s="37"/>
      <c r="C761" s="38"/>
    </row>
    <row r="762">
      <c r="B762" s="37"/>
      <c r="C762" s="38"/>
    </row>
    <row r="763">
      <c r="B763" s="37"/>
      <c r="C763" s="38"/>
    </row>
    <row r="764">
      <c r="B764" s="37"/>
      <c r="C764" s="38"/>
    </row>
    <row r="765">
      <c r="B765" s="37"/>
      <c r="C765" s="38"/>
    </row>
    <row r="766">
      <c r="B766" s="37"/>
      <c r="C766" s="38"/>
    </row>
    <row r="767">
      <c r="B767" s="37"/>
      <c r="C767" s="38"/>
    </row>
    <row r="768">
      <c r="B768" s="37"/>
      <c r="C768" s="38"/>
    </row>
    <row r="769">
      <c r="B769" s="37"/>
      <c r="C769" s="38"/>
    </row>
    <row r="770">
      <c r="B770" s="37"/>
      <c r="C770" s="38"/>
    </row>
    <row r="771">
      <c r="B771" s="37"/>
      <c r="C771" s="38"/>
    </row>
    <row r="772">
      <c r="B772" s="37"/>
      <c r="C772" s="38"/>
    </row>
    <row r="773">
      <c r="B773" s="37"/>
      <c r="C773" s="38"/>
    </row>
    <row r="774">
      <c r="B774" s="37"/>
      <c r="C774" s="38"/>
    </row>
    <row r="775">
      <c r="B775" s="37"/>
      <c r="C775" s="38"/>
    </row>
    <row r="776">
      <c r="B776" s="37"/>
      <c r="C776" s="38"/>
    </row>
    <row r="777">
      <c r="B777" s="37"/>
      <c r="C777" s="38"/>
    </row>
    <row r="778">
      <c r="B778" s="37"/>
      <c r="C778" s="38"/>
    </row>
    <row r="779">
      <c r="B779" s="37"/>
      <c r="C779" s="38"/>
    </row>
    <row r="780">
      <c r="B780" s="37"/>
      <c r="C780" s="38"/>
    </row>
    <row r="781">
      <c r="B781" s="37"/>
      <c r="C781" s="38"/>
    </row>
    <row r="782">
      <c r="B782" s="37"/>
      <c r="C782" s="38"/>
    </row>
    <row r="783">
      <c r="B783" s="37"/>
      <c r="C783" s="38"/>
    </row>
    <row r="784">
      <c r="B784" s="37"/>
      <c r="C784" s="38"/>
    </row>
    <row r="785">
      <c r="B785" s="37"/>
      <c r="C785" s="38"/>
    </row>
    <row r="786">
      <c r="B786" s="37"/>
      <c r="C786" s="38"/>
    </row>
    <row r="787">
      <c r="B787" s="37"/>
      <c r="C787" s="38"/>
    </row>
    <row r="788">
      <c r="B788" s="37"/>
      <c r="C788" s="38"/>
    </row>
    <row r="789">
      <c r="B789" s="37"/>
      <c r="C789" s="38"/>
    </row>
    <row r="790">
      <c r="B790" s="37"/>
      <c r="C790" s="38"/>
    </row>
    <row r="791">
      <c r="B791" s="37"/>
      <c r="C791" s="38"/>
    </row>
    <row r="792">
      <c r="B792" s="37"/>
      <c r="C792" s="38"/>
    </row>
    <row r="793">
      <c r="B793" s="37"/>
      <c r="C793" s="38"/>
    </row>
    <row r="794">
      <c r="B794" s="37"/>
      <c r="C794" s="38"/>
    </row>
    <row r="795">
      <c r="B795" s="37"/>
      <c r="C795" s="38"/>
    </row>
    <row r="796">
      <c r="B796" s="37"/>
      <c r="C796" s="38"/>
    </row>
    <row r="797">
      <c r="B797" s="37"/>
      <c r="C797" s="38"/>
    </row>
    <row r="798">
      <c r="B798" s="37"/>
      <c r="C798" s="38"/>
    </row>
    <row r="799">
      <c r="B799" s="37"/>
      <c r="C799" s="38"/>
    </row>
    <row r="800">
      <c r="B800" s="37"/>
      <c r="C800" s="38"/>
    </row>
    <row r="801">
      <c r="B801" s="37"/>
      <c r="C801" s="38"/>
    </row>
    <row r="802">
      <c r="B802" s="37"/>
      <c r="C802" s="38"/>
    </row>
    <row r="803">
      <c r="B803" s="37"/>
      <c r="C803" s="38"/>
    </row>
    <row r="804">
      <c r="B804" s="37"/>
      <c r="C804" s="38"/>
    </row>
    <row r="805">
      <c r="B805" s="37"/>
      <c r="C805" s="38"/>
    </row>
    <row r="806">
      <c r="B806" s="37"/>
      <c r="C806" s="38"/>
    </row>
    <row r="807">
      <c r="B807" s="37"/>
      <c r="C807" s="38"/>
    </row>
    <row r="808">
      <c r="B808" s="37"/>
      <c r="C808" s="38"/>
    </row>
    <row r="809">
      <c r="B809" s="37"/>
      <c r="C809" s="38"/>
    </row>
    <row r="810">
      <c r="B810" s="37"/>
      <c r="C810" s="38"/>
    </row>
    <row r="811">
      <c r="B811" s="37"/>
      <c r="C811" s="38"/>
    </row>
    <row r="812">
      <c r="B812" s="37"/>
      <c r="C812" s="38"/>
    </row>
    <row r="813">
      <c r="B813" s="37"/>
      <c r="C813" s="38"/>
    </row>
    <row r="814">
      <c r="B814" s="37"/>
      <c r="C814" s="38"/>
    </row>
    <row r="815">
      <c r="B815" s="37"/>
      <c r="C815" s="38"/>
    </row>
    <row r="816">
      <c r="B816" s="37"/>
      <c r="C816" s="38"/>
    </row>
    <row r="817">
      <c r="B817" s="37"/>
      <c r="C817" s="38"/>
    </row>
    <row r="818">
      <c r="B818" s="37"/>
      <c r="C818" s="38"/>
    </row>
    <row r="819">
      <c r="B819" s="37"/>
      <c r="C819" s="38"/>
    </row>
    <row r="820">
      <c r="B820" s="37"/>
      <c r="C820" s="38"/>
    </row>
    <row r="821">
      <c r="B821" s="37"/>
      <c r="C821" s="38"/>
    </row>
    <row r="822">
      <c r="B822" s="37"/>
      <c r="C822" s="38"/>
    </row>
    <row r="823">
      <c r="B823" s="37"/>
      <c r="C823" s="38"/>
    </row>
    <row r="824">
      <c r="B824" s="37"/>
      <c r="C824" s="38"/>
    </row>
    <row r="825">
      <c r="B825" s="37"/>
      <c r="C825" s="38"/>
    </row>
    <row r="826">
      <c r="B826" s="37"/>
      <c r="C826" s="38"/>
    </row>
    <row r="827">
      <c r="B827" s="37"/>
      <c r="C827" s="38"/>
    </row>
    <row r="828">
      <c r="B828" s="37"/>
      <c r="C828" s="38"/>
    </row>
    <row r="829">
      <c r="B829" s="37"/>
      <c r="C829" s="38"/>
    </row>
    <row r="830">
      <c r="B830" s="37"/>
      <c r="C830" s="38"/>
    </row>
    <row r="831">
      <c r="B831" s="37"/>
      <c r="C831" s="38"/>
    </row>
    <row r="832">
      <c r="B832" s="37"/>
      <c r="C832" s="38"/>
    </row>
    <row r="833">
      <c r="B833" s="37"/>
      <c r="C833" s="38"/>
    </row>
    <row r="834">
      <c r="B834" s="37"/>
      <c r="C834" s="38"/>
    </row>
    <row r="835">
      <c r="B835" s="37"/>
      <c r="C835" s="38"/>
    </row>
    <row r="836">
      <c r="B836" s="37"/>
      <c r="C836" s="38"/>
    </row>
    <row r="837">
      <c r="B837" s="37"/>
      <c r="C837" s="38"/>
    </row>
    <row r="838">
      <c r="B838" s="37"/>
      <c r="C838" s="38"/>
    </row>
    <row r="839">
      <c r="B839" s="37"/>
      <c r="C839" s="38"/>
    </row>
    <row r="840">
      <c r="B840" s="37"/>
      <c r="C840" s="38"/>
    </row>
    <row r="841">
      <c r="B841" s="37"/>
      <c r="C841" s="38"/>
    </row>
    <row r="842">
      <c r="B842" s="37"/>
      <c r="C842" s="38"/>
    </row>
    <row r="843">
      <c r="B843" s="37"/>
      <c r="C843" s="38"/>
    </row>
    <row r="844">
      <c r="B844" s="37"/>
      <c r="C844" s="38"/>
    </row>
    <row r="845">
      <c r="B845" s="37"/>
      <c r="C845" s="38"/>
    </row>
    <row r="846">
      <c r="B846" s="37"/>
      <c r="C846" s="38"/>
    </row>
    <row r="847">
      <c r="B847" s="37"/>
      <c r="C847" s="38"/>
    </row>
    <row r="848">
      <c r="B848" s="37"/>
      <c r="C848" s="38"/>
    </row>
    <row r="849">
      <c r="B849" s="37"/>
      <c r="C849" s="38"/>
    </row>
    <row r="850">
      <c r="B850" s="37"/>
      <c r="C850" s="38"/>
    </row>
    <row r="851">
      <c r="B851" s="37"/>
      <c r="C851" s="38"/>
    </row>
    <row r="852">
      <c r="B852" s="37"/>
      <c r="C852" s="38"/>
    </row>
    <row r="853">
      <c r="B853" s="37"/>
      <c r="C853" s="38"/>
    </row>
    <row r="854">
      <c r="B854" s="37"/>
      <c r="C854" s="38"/>
    </row>
    <row r="855">
      <c r="B855" s="37"/>
      <c r="C855" s="38"/>
    </row>
    <row r="856">
      <c r="B856" s="37"/>
      <c r="C856" s="38"/>
    </row>
    <row r="857">
      <c r="B857" s="37"/>
      <c r="C857" s="38"/>
    </row>
    <row r="858">
      <c r="B858" s="37"/>
      <c r="C858" s="38"/>
    </row>
    <row r="859">
      <c r="B859" s="37"/>
      <c r="C859" s="38"/>
    </row>
    <row r="860">
      <c r="B860" s="37"/>
      <c r="C860" s="38"/>
    </row>
    <row r="861">
      <c r="B861" s="37"/>
      <c r="C861" s="38"/>
    </row>
    <row r="862">
      <c r="B862" s="37"/>
      <c r="C862" s="38"/>
    </row>
    <row r="863">
      <c r="B863" s="37"/>
      <c r="C863" s="38"/>
    </row>
    <row r="864">
      <c r="B864" s="37"/>
      <c r="C864" s="38"/>
    </row>
    <row r="865">
      <c r="B865" s="37"/>
      <c r="C865" s="38"/>
    </row>
    <row r="866">
      <c r="B866" s="37"/>
      <c r="C866" s="38"/>
    </row>
    <row r="867">
      <c r="B867" s="37"/>
      <c r="C867" s="38"/>
    </row>
    <row r="868">
      <c r="B868" s="37"/>
      <c r="C868" s="38"/>
    </row>
    <row r="869">
      <c r="B869" s="37"/>
      <c r="C869" s="38"/>
    </row>
    <row r="870">
      <c r="B870" s="37"/>
      <c r="C870" s="38"/>
    </row>
    <row r="871">
      <c r="B871" s="37"/>
      <c r="C871" s="38"/>
    </row>
    <row r="872">
      <c r="B872" s="37"/>
      <c r="C872" s="38"/>
    </row>
    <row r="873">
      <c r="B873" s="37"/>
      <c r="C873" s="38"/>
    </row>
    <row r="874">
      <c r="B874" s="37"/>
      <c r="C874" s="38"/>
    </row>
    <row r="875">
      <c r="B875" s="37"/>
      <c r="C875" s="38"/>
    </row>
    <row r="876">
      <c r="B876" s="37"/>
      <c r="C876" s="38"/>
    </row>
    <row r="877">
      <c r="B877" s="37"/>
      <c r="C877" s="38"/>
    </row>
    <row r="878">
      <c r="B878" s="37"/>
      <c r="C878" s="38"/>
    </row>
    <row r="879">
      <c r="B879" s="37"/>
      <c r="C879" s="38"/>
    </row>
    <row r="880">
      <c r="B880" s="37"/>
      <c r="C880" s="38"/>
    </row>
    <row r="881">
      <c r="B881" s="37"/>
      <c r="C881" s="38"/>
    </row>
    <row r="882">
      <c r="B882" s="37"/>
      <c r="C882" s="38"/>
    </row>
    <row r="883">
      <c r="B883" s="37"/>
      <c r="C883" s="38"/>
    </row>
    <row r="884">
      <c r="B884" s="37"/>
      <c r="C884" s="38"/>
    </row>
    <row r="885">
      <c r="B885" s="37"/>
      <c r="C885" s="38"/>
    </row>
    <row r="886">
      <c r="B886" s="37"/>
      <c r="C886" s="38"/>
    </row>
    <row r="887">
      <c r="B887" s="37"/>
      <c r="C887" s="38"/>
    </row>
    <row r="888">
      <c r="B888" s="37"/>
      <c r="C888" s="38"/>
    </row>
    <row r="889">
      <c r="B889" s="37"/>
      <c r="C889" s="38"/>
    </row>
    <row r="890">
      <c r="B890" s="37"/>
      <c r="C890" s="38"/>
    </row>
    <row r="891">
      <c r="B891" s="37"/>
      <c r="C891" s="38"/>
    </row>
    <row r="892">
      <c r="B892" s="37"/>
      <c r="C892" s="38"/>
    </row>
    <row r="893">
      <c r="B893" s="37"/>
      <c r="C893" s="38"/>
    </row>
    <row r="894">
      <c r="B894" s="37"/>
      <c r="C894" s="38"/>
    </row>
    <row r="895">
      <c r="B895" s="37"/>
      <c r="C895" s="38"/>
    </row>
    <row r="896">
      <c r="B896" s="37"/>
      <c r="C896" s="38"/>
    </row>
    <row r="897">
      <c r="B897" s="37"/>
      <c r="C897" s="38"/>
    </row>
    <row r="898">
      <c r="B898" s="37"/>
      <c r="C898" s="38"/>
    </row>
    <row r="899">
      <c r="B899" s="37"/>
      <c r="C899" s="38"/>
    </row>
    <row r="900">
      <c r="B900" s="37"/>
      <c r="C900" s="38"/>
    </row>
    <row r="901">
      <c r="B901" s="37"/>
      <c r="C901" s="38"/>
    </row>
    <row r="902">
      <c r="B902" s="37"/>
      <c r="C902" s="38"/>
    </row>
    <row r="903">
      <c r="B903" s="37"/>
      <c r="C903" s="38"/>
    </row>
    <row r="904">
      <c r="B904" s="37"/>
      <c r="C904" s="38"/>
    </row>
    <row r="905">
      <c r="B905" s="37"/>
      <c r="C905" s="38"/>
    </row>
    <row r="906">
      <c r="B906" s="37"/>
      <c r="C906" s="38"/>
    </row>
    <row r="907">
      <c r="B907" s="37"/>
      <c r="C907" s="38"/>
    </row>
    <row r="908">
      <c r="B908" s="37"/>
      <c r="C908" s="38"/>
    </row>
    <row r="909">
      <c r="B909" s="37"/>
      <c r="C909" s="38"/>
    </row>
    <row r="910">
      <c r="B910" s="37"/>
      <c r="C910" s="38"/>
    </row>
    <row r="911">
      <c r="B911" s="37"/>
      <c r="C911" s="38"/>
    </row>
    <row r="912">
      <c r="B912" s="37"/>
      <c r="C912" s="38"/>
    </row>
    <row r="913">
      <c r="B913" s="37"/>
      <c r="C913" s="38"/>
    </row>
    <row r="914">
      <c r="B914" s="37"/>
      <c r="C914" s="38"/>
    </row>
    <row r="915">
      <c r="B915" s="37"/>
      <c r="C915" s="38"/>
    </row>
    <row r="916">
      <c r="B916" s="37"/>
      <c r="C916" s="38"/>
    </row>
    <row r="917">
      <c r="B917" s="37"/>
      <c r="C917" s="38"/>
    </row>
    <row r="918">
      <c r="B918" s="37"/>
      <c r="C918" s="38"/>
    </row>
    <row r="919">
      <c r="B919" s="37"/>
      <c r="C919" s="38"/>
    </row>
    <row r="920">
      <c r="B920" s="37"/>
      <c r="C920" s="38"/>
    </row>
    <row r="921">
      <c r="B921" s="37"/>
      <c r="C921" s="38"/>
    </row>
    <row r="922">
      <c r="B922" s="37"/>
      <c r="C922" s="38"/>
    </row>
    <row r="923">
      <c r="B923" s="37"/>
      <c r="C923" s="38"/>
    </row>
    <row r="924">
      <c r="B924" s="37"/>
      <c r="C924" s="38"/>
    </row>
    <row r="925">
      <c r="B925" s="37"/>
      <c r="C925" s="38"/>
    </row>
    <row r="926">
      <c r="B926" s="37"/>
      <c r="C926" s="38"/>
    </row>
    <row r="927">
      <c r="B927" s="37"/>
      <c r="C927" s="38"/>
    </row>
    <row r="928">
      <c r="B928" s="37"/>
      <c r="C928" s="38"/>
    </row>
    <row r="929">
      <c r="B929" s="37"/>
      <c r="C929" s="38"/>
    </row>
    <row r="930">
      <c r="B930" s="37"/>
      <c r="C930" s="38"/>
    </row>
    <row r="931">
      <c r="B931" s="37"/>
      <c r="C931" s="38"/>
    </row>
    <row r="932">
      <c r="B932" s="37"/>
      <c r="C932" s="38"/>
    </row>
    <row r="933">
      <c r="B933" s="37"/>
      <c r="C933" s="38"/>
    </row>
    <row r="934">
      <c r="B934" s="37"/>
      <c r="C934" s="38"/>
    </row>
    <row r="935">
      <c r="B935" s="37"/>
      <c r="C935" s="38"/>
    </row>
    <row r="936">
      <c r="B936" s="37"/>
      <c r="C936" s="38"/>
    </row>
    <row r="937">
      <c r="B937" s="37"/>
      <c r="C937" s="38"/>
    </row>
    <row r="938">
      <c r="B938" s="37"/>
      <c r="C938" s="38"/>
    </row>
    <row r="939">
      <c r="B939" s="37"/>
      <c r="C939" s="38"/>
    </row>
    <row r="940">
      <c r="B940" s="37"/>
      <c r="C940" s="38"/>
    </row>
    <row r="941">
      <c r="B941" s="37"/>
      <c r="C941" s="38"/>
    </row>
    <row r="942">
      <c r="B942" s="37"/>
      <c r="C942" s="38"/>
    </row>
    <row r="943">
      <c r="B943" s="37"/>
      <c r="C943" s="38"/>
    </row>
    <row r="944">
      <c r="B944" s="37"/>
      <c r="C944" s="38"/>
    </row>
    <row r="945">
      <c r="B945" s="37"/>
      <c r="C945" s="38"/>
    </row>
    <row r="946">
      <c r="B946" s="37"/>
      <c r="C946" s="38"/>
    </row>
    <row r="947">
      <c r="B947" s="37"/>
      <c r="C947" s="38"/>
    </row>
    <row r="948">
      <c r="B948" s="37"/>
      <c r="C948" s="38"/>
    </row>
    <row r="949">
      <c r="B949" s="37"/>
      <c r="C949" s="38"/>
    </row>
    <row r="950">
      <c r="B950" s="37"/>
      <c r="C950" s="38"/>
    </row>
    <row r="951">
      <c r="B951" s="37"/>
      <c r="C951" s="38"/>
    </row>
    <row r="952">
      <c r="B952" s="37"/>
      <c r="C952" s="38"/>
    </row>
    <row r="953">
      <c r="B953" s="37"/>
      <c r="C953" s="38"/>
    </row>
    <row r="954">
      <c r="B954" s="37"/>
      <c r="C954" s="38"/>
    </row>
    <row r="955">
      <c r="B955" s="37"/>
      <c r="C955" s="38"/>
    </row>
    <row r="956">
      <c r="B956" s="37"/>
      <c r="C956" s="38"/>
    </row>
    <row r="957">
      <c r="B957" s="37"/>
      <c r="C957" s="38"/>
    </row>
    <row r="958">
      <c r="B958" s="37"/>
      <c r="C958" s="38"/>
    </row>
    <row r="959">
      <c r="B959" s="37"/>
      <c r="C959" s="38"/>
    </row>
    <row r="960">
      <c r="B960" s="37"/>
      <c r="C960" s="38"/>
    </row>
    <row r="961">
      <c r="B961" s="37"/>
      <c r="C961" s="38"/>
    </row>
    <row r="962">
      <c r="B962" s="37"/>
      <c r="C962" s="38"/>
    </row>
    <row r="963">
      <c r="B963" s="37"/>
      <c r="C963" s="38"/>
    </row>
    <row r="964">
      <c r="B964" s="37"/>
      <c r="C964" s="38"/>
    </row>
    <row r="965">
      <c r="B965" s="37"/>
      <c r="C965" s="38"/>
    </row>
    <row r="966">
      <c r="B966" s="37"/>
      <c r="C966" s="38"/>
    </row>
    <row r="967">
      <c r="B967" s="37"/>
      <c r="C967" s="38"/>
    </row>
    <row r="968">
      <c r="B968" s="37"/>
      <c r="C968" s="38"/>
    </row>
    <row r="969">
      <c r="B969" s="37"/>
      <c r="C969" s="38"/>
    </row>
    <row r="970">
      <c r="B970" s="37"/>
      <c r="C970" s="38"/>
    </row>
    <row r="971">
      <c r="B971" s="37"/>
      <c r="C971" s="38"/>
    </row>
    <row r="972">
      <c r="B972" s="37"/>
      <c r="C972" s="38"/>
    </row>
    <row r="973">
      <c r="B973" s="37"/>
      <c r="C973" s="38"/>
    </row>
    <row r="974">
      <c r="B974" s="37"/>
      <c r="C974" s="38"/>
    </row>
    <row r="975">
      <c r="B975" s="37"/>
      <c r="C975" s="38"/>
    </row>
    <row r="976">
      <c r="B976" s="37"/>
      <c r="C976" s="38"/>
    </row>
    <row r="977">
      <c r="B977" s="37"/>
      <c r="C977" s="38"/>
    </row>
    <row r="978">
      <c r="B978" s="37"/>
      <c r="C978" s="38"/>
    </row>
    <row r="979">
      <c r="B979" s="37"/>
      <c r="C979" s="38"/>
    </row>
    <row r="980">
      <c r="B980" s="37"/>
      <c r="C980" s="38"/>
    </row>
    <row r="981">
      <c r="B981" s="37"/>
      <c r="C981" s="38"/>
    </row>
    <row r="982">
      <c r="B982" s="37"/>
      <c r="C982" s="38"/>
    </row>
    <row r="983">
      <c r="B983" s="37"/>
      <c r="C983" s="38"/>
    </row>
    <row r="984">
      <c r="B984" s="37"/>
      <c r="C984" s="38"/>
    </row>
    <row r="985">
      <c r="B985" s="37"/>
      <c r="C985" s="38"/>
    </row>
    <row r="986">
      <c r="B986" s="37"/>
      <c r="C986" s="38"/>
    </row>
    <row r="987">
      <c r="B987" s="37"/>
      <c r="C987" s="38"/>
    </row>
    <row r="988">
      <c r="B988" s="37"/>
      <c r="C988" s="38"/>
    </row>
    <row r="989">
      <c r="B989" s="37"/>
      <c r="C989" s="38"/>
    </row>
    <row r="990">
      <c r="B990" s="37"/>
      <c r="C990" s="38"/>
    </row>
    <row r="991">
      <c r="B991" s="37"/>
      <c r="C991" s="38"/>
    </row>
    <row r="992">
      <c r="B992" s="37"/>
      <c r="C992" s="38"/>
    </row>
    <row r="993">
      <c r="B993" s="37"/>
      <c r="C993" s="38"/>
    </row>
    <row r="994">
      <c r="B994" s="37"/>
      <c r="C994" s="38"/>
    </row>
    <row r="995">
      <c r="B995" s="37"/>
      <c r="C995" s="38"/>
    </row>
    <row r="996">
      <c r="B996" s="37"/>
      <c r="C996" s="38"/>
    </row>
    <row r="997">
      <c r="B997" s="37"/>
      <c r="C997" s="38"/>
    </row>
    <row r="998">
      <c r="B998" s="37"/>
      <c r="C998" s="38"/>
    </row>
    <row r="999">
      <c r="B999" s="37"/>
      <c r="C999" s="38"/>
    </row>
    <row r="1000">
      <c r="B1000" s="37"/>
      <c r="C1000" s="38"/>
    </row>
  </sheetData>
  <drawing r:id="rId1"/>
</worksheet>
</file>